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ter\Downloads\"/>
    </mc:Choice>
  </mc:AlternateContent>
  <xr:revisionPtr revIDLastSave="0" documentId="8_{901C0075-21D0-4A33-893C-A1CE982A0BE4}" xr6:coauthVersionLast="46" xr6:coauthVersionMax="46" xr10:uidLastSave="{00000000-0000-0000-0000-000000000000}"/>
  <bookViews>
    <workbookView xWindow="21480" yWindow="-120" windowWidth="21840" windowHeight="13020" xr2:uid="{00000000-000D-0000-FFFF-FFFF00000000}"/>
  </bookViews>
  <sheets>
    <sheet name="MATERIAIS" sheetId="1" r:id="rId1"/>
    <sheet name="EXPLICAÇÃO DOS MATERIAIS" sheetId="2" state="hidden" r:id="rId2"/>
  </sheets>
  <definedNames>
    <definedName name="_xlnm._FilterDatabase" localSheetId="0" hidden="1">MATERIAIS!$C$6:$F$6</definedName>
  </definedNames>
  <calcPr calcId="191029"/>
</workbook>
</file>

<file path=xl/calcChain.xml><?xml version="1.0" encoding="utf-8"?>
<calcChain xmlns="http://schemas.openxmlformats.org/spreadsheetml/2006/main">
  <c r="H86" i="1" l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62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43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166" i="1" l="1"/>
  <c r="E78" i="2" l="1"/>
  <c r="F78" i="2" s="1"/>
  <c r="E58" i="2"/>
  <c r="F58" i="2" s="1"/>
  <c r="F11" i="2"/>
  <c r="F12" i="2"/>
  <c r="F13" i="2"/>
  <c r="F14" i="2"/>
  <c r="F16" i="2"/>
  <c r="F17" i="2"/>
  <c r="F18" i="2"/>
  <c r="F19" i="2"/>
  <c r="F20" i="2"/>
  <c r="F22" i="2"/>
  <c r="F23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1" i="2"/>
  <c r="F43" i="2"/>
  <c r="F44" i="2"/>
  <c r="F47" i="2"/>
  <c r="F49" i="2"/>
  <c r="F50" i="2"/>
  <c r="F51" i="2"/>
  <c r="F52" i="2"/>
  <c r="F53" i="2"/>
  <c r="F54" i="2"/>
  <c r="F57" i="2"/>
  <c r="F61" i="2"/>
  <c r="F62" i="2"/>
  <c r="F63" i="2"/>
  <c r="F64" i="2"/>
  <c r="F65" i="2"/>
  <c r="F66" i="2"/>
  <c r="F68" i="2"/>
  <c r="F69" i="2"/>
  <c r="F70" i="2"/>
  <c r="F74" i="2"/>
  <c r="F75" i="2"/>
  <c r="F76" i="2"/>
  <c r="F79" i="2"/>
  <c r="F80" i="2"/>
  <c r="E15" i="2"/>
  <c r="F15" i="2" s="1"/>
  <c r="E59" i="2"/>
  <c r="F59" i="2" s="1"/>
  <c r="E56" i="2"/>
  <c r="F56" i="2" s="1"/>
  <c r="E60" i="2"/>
  <c r="F60" i="2" s="1"/>
  <c r="E48" i="2"/>
  <c r="F48" i="2" s="1"/>
  <c r="E46" i="2"/>
  <c r="F46" i="2" s="1"/>
  <c r="E45" i="2"/>
  <c r="F45" i="2" s="1"/>
  <c r="E42" i="2"/>
  <c r="F42" i="2" s="1"/>
  <c r="E40" i="2"/>
  <c r="F40" i="2" s="1"/>
  <c r="E24" i="2"/>
  <c r="F24" i="2" s="1"/>
  <c r="E21" i="2"/>
  <c r="F21" i="2" s="1"/>
  <c r="E10" i="2"/>
  <c r="F10" i="2" s="1"/>
  <c r="E9" i="2"/>
  <c r="F9" i="2" s="1"/>
  <c r="E8" i="2"/>
  <c r="E71" i="2" l="1"/>
  <c r="F71" i="2" s="1"/>
  <c r="F8" i="2"/>
  <c r="E67" i="2"/>
  <c r="F67" i="2" s="1"/>
  <c r="E73" i="2"/>
  <c r="F73" i="2" s="1"/>
  <c r="E72" i="2"/>
  <c r="E55" i="2" l="1"/>
  <c r="F55" i="2" s="1"/>
  <c r="F72" i="2"/>
  <c r="E77" i="2"/>
  <c r="F77" i="2" s="1"/>
</calcChain>
</file>

<file path=xl/sharedStrings.xml><?xml version="1.0" encoding="utf-8"?>
<sst xmlns="http://schemas.openxmlformats.org/spreadsheetml/2006/main" count="421" uniqueCount="337">
  <si>
    <t xml:space="preserve">DP001 - 001 - LISTA DE MATERIAIS </t>
  </si>
  <si>
    <t>LISTA DE MATERIAIS - EXPANSÃO FIBRA ÓPTICA</t>
  </si>
  <si>
    <t>*DOCUMENTO PASSÍVEL DE ATUALIZAÇÃO.</t>
  </si>
  <si>
    <t>Descrição de materiais</t>
  </si>
  <si>
    <t>Uni</t>
  </si>
  <si>
    <t>Quant.</t>
  </si>
  <si>
    <t>Ancoragem</t>
  </si>
  <si>
    <t>Cabos</t>
  </si>
  <si>
    <t>SUPORTE DIELETRICO SIMPLES</t>
  </si>
  <si>
    <t>m</t>
  </si>
  <si>
    <t>TAP BRACKET</t>
  </si>
  <si>
    <t>CÓDIGO PROJETO:</t>
  </si>
  <si>
    <t>PARAFUSO M12X35 - SEM PORCA</t>
  </si>
  <si>
    <t>SUPORTE DIELETRICO DUPLO</t>
  </si>
  <si>
    <t>ANEL GUIA</t>
  </si>
  <si>
    <t>PLAQUETA DE IDENTIFICAÇÃO DE CABOS</t>
  </si>
  <si>
    <t>CAIXAS CONECTORIZADAS</t>
  </si>
  <si>
    <t>CAIXAS DE FUSÃO - 24F (EXPANSIVA)</t>
  </si>
  <si>
    <t>SPLITTER FUSÃO 1/4</t>
  </si>
  <si>
    <t>PRENÇA PARA ESPINAR</t>
  </si>
  <si>
    <t>FITA ISOLANTE</t>
  </si>
  <si>
    <t>993183</t>
  </si>
  <si>
    <t>ABRACADEIRA BAP 2</t>
  </si>
  <si>
    <t>993184</t>
  </si>
  <si>
    <t>ABRACADEIRA BAP 3</t>
  </si>
  <si>
    <t>994916</t>
  </si>
  <si>
    <t>ADAPTADOR SC/UPC COM ABAS (PASSANTE)</t>
  </si>
  <si>
    <t>996175</t>
  </si>
  <si>
    <t>ADAPTADOR SC/UPC SEM ABAS (PASSANTE)</t>
  </si>
  <si>
    <t>993144</t>
  </si>
  <si>
    <t>ALCA PRE FORMADA DERIVACAO EM T</t>
  </si>
  <si>
    <t>994163</t>
  </si>
  <si>
    <t>ALCA PRE FORMADA OPDE 1021 (9,6 - 10,4MM)</t>
  </si>
  <si>
    <t>993773</t>
  </si>
  <si>
    <t>ALCA PRE FORMADA P/ CABO OPTICO DE 18 A 19,5 MM 144FO ( VERMELHA )</t>
  </si>
  <si>
    <t>993148</t>
  </si>
  <si>
    <t>ALCA PRE FORMADA P/CORDOALHA 3/16 VERMELHA</t>
  </si>
  <si>
    <t>996956</t>
  </si>
  <si>
    <t>ALCA PRE FORMADA PARA CABO OPTICO AS 200 DE 12 FIBRAS</t>
  </si>
  <si>
    <t>999567</t>
  </si>
  <si>
    <t>ALCA PRE FORMADA PARA CABO OPTICO AS 80 DE 72 FIBRAS VERDE GRANDE</t>
  </si>
  <si>
    <t>993145</t>
  </si>
  <si>
    <t>ALCA PRE FORMADA PARA CABO OPTICO AS80 DE 36 FIBRAS LARANJA 11,2 A 12,4</t>
  </si>
  <si>
    <t>993143</t>
  </si>
  <si>
    <t>ALCA PRE FORMADA PARA CABO OPTICO ASU 80 DE 12 FIBRAS AZUL</t>
  </si>
  <si>
    <t>995796</t>
  </si>
  <si>
    <t>ALCA PRE FORMADA PARA CABO OPTICO ASU80 DE 6FO (6,8 - 7,4 MM)</t>
  </si>
  <si>
    <t>993158</t>
  </si>
  <si>
    <t>993170</t>
  </si>
  <si>
    <t>ARAME DE  ESPINAR ROLO C/ 105 MTS</t>
  </si>
  <si>
    <t>993545</t>
  </si>
  <si>
    <t>ARMACAO SECUNDARIA 1X1 PRESBOW 4,8MM (SUPORTE VERTICAL)</t>
  </si>
  <si>
    <t>993306</t>
  </si>
  <si>
    <t>CABO DE ACO CORDOALHA  3/16 POL</t>
  </si>
  <si>
    <t>993212</t>
  </si>
  <si>
    <t>CABO OPTICO AS 200 12 FIBRAS</t>
  </si>
  <si>
    <t>994158</t>
  </si>
  <si>
    <t>CABO OPTICO AS 200 DE 24 FIBRAS</t>
  </si>
  <si>
    <t>997021</t>
  </si>
  <si>
    <t>CABO OPTICO AS 200 DE 36 FIBRAS</t>
  </si>
  <si>
    <t>990094</t>
  </si>
  <si>
    <t>CABO OPTICO AS 80 DE 144 FIBRAS</t>
  </si>
  <si>
    <t>993336</t>
  </si>
  <si>
    <t>CABO OPTICO AS 80 DE 18 FIBRAS</t>
  </si>
  <si>
    <t>993338</t>
  </si>
  <si>
    <t>CABO OPTICO AS 80 DE 24 FIBRAS</t>
  </si>
  <si>
    <t>993341</t>
  </si>
  <si>
    <t>CABO OPTICO AS 80 DE 36 FIBRAS</t>
  </si>
  <si>
    <t>993342</t>
  </si>
  <si>
    <t>CABO OPTICO AS 80 DE 48 FIBRAS</t>
  </si>
  <si>
    <t>993335</t>
  </si>
  <si>
    <t>CABO OPTICO AS 80 DE 72 FIBRAS</t>
  </si>
  <si>
    <t>997016</t>
  </si>
  <si>
    <t>CABO OPTICO AS200 DE 18 FIBRAS</t>
  </si>
  <si>
    <t>993213</t>
  </si>
  <si>
    <t>CABO OPTICO ASU 80 DE 12 FIBRAS</t>
  </si>
  <si>
    <t>993339</t>
  </si>
  <si>
    <t>CABO OPTICO ASU 80 DE 6 FIBRAS</t>
  </si>
  <si>
    <t>993340</t>
  </si>
  <si>
    <t>CABO OPTICO ASUT 80 DE 12 FIBRAS</t>
  </si>
  <si>
    <t>993337</t>
  </si>
  <si>
    <t>CABO OPTICO ASUT 80 DE 6 FIBRAS</t>
  </si>
  <si>
    <t>993391</t>
  </si>
  <si>
    <t>CAIXA DE EMENDA 12FO MINI CEO</t>
  </si>
  <si>
    <t>996826</t>
  </si>
  <si>
    <t>CAIXA DE EMENDA OPTICA 24 ATE 96 FIBRAS</t>
  </si>
  <si>
    <t>990207</t>
  </si>
  <si>
    <t>CAIXA DE EMENDA OPTICA DE 144 FIBRAS</t>
  </si>
  <si>
    <t>993232</t>
  </si>
  <si>
    <t>CAIXA TERMINAL OPTICA (CTO)</t>
  </si>
  <si>
    <t>993308</t>
  </si>
  <si>
    <t>CRUZETA</t>
  </si>
  <si>
    <t>993331</t>
  </si>
  <si>
    <t>ESTICADOR DE MONOFIBRA</t>
  </si>
  <si>
    <t>993334</t>
  </si>
  <si>
    <t>FECHO DENTADO PARA FITA ACO INOX 3/4</t>
  </si>
  <si>
    <t>993348</t>
  </si>
  <si>
    <t>FITA DE ACO INOX 3/4" (FITA FUSIMEC)</t>
  </si>
  <si>
    <t>993349</t>
  </si>
  <si>
    <t>FITA DE AMARRACAO INOX N° 16</t>
  </si>
  <si>
    <t>993350</t>
  </si>
  <si>
    <t>FITA DE AMARRACAO INOX N°10  (PARA OPTILOOP)</t>
  </si>
  <si>
    <t>993346</t>
  </si>
  <si>
    <t>FITA ISOLANTE AUTO FUSAO 19MMX10M</t>
  </si>
  <si>
    <t>993508</t>
  </si>
  <si>
    <t>ISOLADOR POLIMERICO 72 X 72 (ROLDANA DE PLASTICO)</t>
  </si>
  <si>
    <t>993507</t>
  </si>
  <si>
    <t>ISOLADOR ROLDANA 72X72 PORECELANA</t>
  </si>
  <si>
    <t>996099</t>
  </si>
  <si>
    <t>KIT DE BANDEJA PARA CAIXA TIPO FOSC – 24FO</t>
  </si>
  <si>
    <t>996582</t>
  </si>
  <si>
    <t>KIT DERIVACAO PARA CEO</t>
  </si>
  <si>
    <t>993405</t>
  </si>
  <si>
    <t>OLHAL RETO ROSCA M12</t>
  </si>
  <si>
    <t>993442</t>
  </si>
  <si>
    <t>PARAFUSO M12X35 COM PORCA</t>
  </si>
  <si>
    <t>993456</t>
  </si>
  <si>
    <t>PLAQUETA DE IDENTIFICACAO DE REDE OPTICA - PERSONALIZADA</t>
  </si>
  <si>
    <t>999634</t>
  </si>
  <si>
    <t>POSTE EUCALIPTO 20/25X8 7M</t>
  </si>
  <si>
    <t>993487</t>
  </si>
  <si>
    <t>PRENSA FIO DE ESPINAR</t>
  </si>
  <si>
    <t>993503</t>
  </si>
  <si>
    <t>RESERVA OPTI LOOP (RAQUETE)</t>
  </si>
  <si>
    <t>994927</t>
  </si>
  <si>
    <t>SPLITTER 1/16 SC APC CONECTORIZADO</t>
  </si>
  <si>
    <t>993525</t>
  </si>
  <si>
    <t>SPLITTER 1/16 SC UPC CONECTORIZADO</t>
  </si>
  <si>
    <t>993526</t>
  </si>
  <si>
    <t>SPLITTER 1/16 SEM CONECTOR</t>
  </si>
  <si>
    <t>994924</t>
  </si>
  <si>
    <t>SPLITTER 1/2 SC/APC SC/APC CONECTORIZADO</t>
  </si>
  <si>
    <t>993527</t>
  </si>
  <si>
    <t>SPLITTER 1/2 SC/UPC SC/UPC CONECTORIZADO</t>
  </si>
  <si>
    <t>993528</t>
  </si>
  <si>
    <t>SPLITTER 1/2 SEM CONECTOR</t>
  </si>
  <si>
    <t>993529</t>
  </si>
  <si>
    <t>SPLITTER 1/4 SC UPC CONECTORIZADO</t>
  </si>
  <si>
    <t>993530</t>
  </si>
  <si>
    <t>SPLITTER 1/4 SEM CONECTOR</t>
  </si>
  <si>
    <t>994926</t>
  </si>
  <si>
    <t>SPLITTER 1/8 SC/APC SC/APC CONECTORIZADO</t>
  </si>
  <si>
    <t>993531</t>
  </si>
  <si>
    <t>SPLITTER 1/8 SC/UPC SC/UPC  CONECTORIZADO</t>
  </si>
  <si>
    <t>993532</t>
  </si>
  <si>
    <t>SPLITTER 1/8 SEM CONECTOR</t>
  </si>
  <si>
    <t>993546</t>
  </si>
  <si>
    <t>SUPORTE ANCORAGEM P/ CABOS OPTICOS (SUPA)</t>
  </si>
  <si>
    <t>993537</t>
  </si>
  <si>
    <t>993536</t>
  </si>
  <si>
    <t>993543</t>
  </si>
  <si>
    <t>SUPORTE ISOLADOR ROLDANA TIPO 2 (PARA POSTE DUPLO T)   REFORCADO</t>
  </si>
  <si>
    <t>993607</t>
  </si>
  <si>
    <t>SUPORTE L TIPO DM P/ ROLDANA PLASTICA</t>
  </si>
  <si>
    <t>996605</t>
  </si>
  <si>
    <t>SUPORTE PARA FIXACAO DE CAIXAS OPTICAS</t>
  </si>
  <si>
    <t>993544</t>
  </si>
  <si>
    <t>SUPORTE REFORCADO HORIZONTAL P/ BAP</t>
  </si>
  <si>
    <t>994929</t>
  </si>
  <si>
    <t>999213</t>
  </si>
  <si>
    <t>TUBETE PROTETOR DE EMENDA OPTICA</t>
  </si>
  <si>
    <t>993233</t>
  </si>
  <si>
    <t>TUBO TERMOCONTRACTIL (CANUSA)</t>
  </si>
  <si>
    <t>Código Protheus</t>
  </si>
  <si>
    <t>unid</t>
  </si>
  <si>
    <t>DATA – Autor (a): Thaís Campos Lopes</t>
  </si>
  <si>
    <t>Quant. CTO</t>
  </si>
  <si>
    <t>Quant. CEO</t>
  </si>
  <si>
    <t>10</t>
  </si>
  <si>
    <t>METRAGEM:</t>
  </si>
  <si>
    <t>SPLITTER PRIMÁRIO</t>
  </si>
  <si>
    <t>SPLITTER SECUNDÁRIO</t>
  </si>
  <si>
    <t>QUANT. COM DESVIO DE 10%</t>
  </si>
  <si>
    <t>OBS:</t>
  </si>
  <si>
    <t>TENTAR ACHAR UM PROPORÇÃO ENTRE BAP 2 E 3</t>
  </si>
  <si>
    <t>VALOR EXATO APENAS COM LEVANTAMENTO DE CAMPO</t>
  </si>
  <si>
    <t>FOI DIVIDIDO 10KM POR 40M DE VÃO</t>
  </si>
  <si>
    <t>DEPENDE DO TIPO DE CTO</t>
  </si>
  <si>
    <t>DEPENDE DO SPLITTER SECUNDÁRIO E QUANT. CTO</t>
  </si>
  <si>
    <t>VALOR É EMPIRICO</t>
  </si>
  <si>
    <t>Quant. CTO vezes 5</t>
  </si>
  <si>
    <r>
      <t xml:space="preserve">FORAM COLOCADOS VALORES ALEATÓRIOS ATÉ COMPLETAR 10KM. DIÂMETROS EXTERNOS PARA </t>
    </r>
    <r>
      <rPr>
        <b/>
        <sz val="10"/>
        <color rgb="FFFF0000"/>
        <rFont val="Calibri"/>
        <family val="2"/>
        <scheme val="minor"/>
      </rPr>
      <t>CABOS DA STERLITE:</t>
    </r>
    <r>
      <rPr>
        <b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 xml:space="preserve">CABO ASU 80 6 E 12 FIBRAS NR KP: 6,8mm
CABO AS 80 18, 24, 36, 48 E 72 NR KP :9,8mm
</t>
    </r>
    <r>
      <rPr>
        <b/>
        <sz val="14"/>
        <color rgb="FFFF0000"/>
        <rFont val="Calibri"/>
        <family val="2"/>
        <scheme val="minor"/>
      </rPr>
      <t>ATENÇÃO STERLITE!!</t>
    </r>
  </si>
  <si>
    <t>APENAS PARA BACKBONE</t>
  </si>
  <si>
    <t>QUANT. DE CTOS VEZES 3</t>
  </si>
  <si>
    <t>CADA REVERSA EM RAQUETE TEM 15 FITAS DE AÇO, AQUI ESTÁ AS FALTANTES</t>
  </si>
  <si>
    <t>EMPÍRICO</t>
  </si>
  <si>
    <t>CADA CEO DA DPR OU ETK VEM 1 BANDEJA, DEPENDE DOS ENTROCAMENTO DE CABOS</t>
  </si>
  <si>
    <t>SUBSTITUI A CANUSA, DEPENDE DO QUANT. DE ENTROCAMENTO DE CABOS NAS CEOs</t>
  </si>
  <si>
    <t>PARA BACKBONE</t>
  </si>
  <si>
    <t>DEPENDE DO LEVANTAMENTO DE CAMPO, POIS A REGIÃO PODE SER MAIS PLANA ENTÃO USA MAIS DIELÉTRICO, SE MAIS MONTANHOSA MAIS ANCONRAGEM DE CABOS. VOU ESTIPULAR UMA PROPORÇÃO DE 60% ANCORAGEM E 25% DIELÉTRICO SIMPLES E 15% DE DIELÉTRICO DUPLO.
NO ENTANTO, ESTIPULAR MELHOR A PROPORÇÃO COM O AS BUILT DAS PRÓXIMAS OBRAS</t>
  </si>
  <si>
    <t>LEMBRANDO QUE EM POSTES DUPLO T A SUPA DEVE SER USADA COM O SUPORTE PARA A BAP</t>
  </si>
  <si>
    <t>DEPENDE DO NÚMERO DE FUSÕES, VERIFICAR SE AS EMPREITEIRAS ESTÃO REALIZANDO SANGRIA NOS CABOS ASU80 DE 6 E 12 FIRBAS</t>
  </si>
  <si>
    <t>Quant. de CEO vezes o vão de 40m</t>
  </si>
  <si>
    <t>Alguns fornecedores vendem o kit com 1 optiloop, 2 taps brackets e 5 fitas de amarração inox. O cálculo o número de CEO vezes 2</t>
  </si>
  <si>
    <t>180m EQUIVALE A 8 CAIXAS DE 25M CADA</t>
  </si>
  <si>
    <t>Verificar se já vai vim no KIT</t>
  </si>
  <si>
    <t>ALÇAS É O GRANDE GARGALO DE ENTENDER, PORÉM FOQUEM NOS TIPOS DE CABOS ÓPTICOS QUE ESTÃO SENDO COMPRADOS. DICA LEMBRANDO QUE NÃO EXISTE ALÇA PARA CABO ASU80 DE 6 E 12 FIBRAS SE ESSES FOREM DOS MESMOS FORNECEDORES. 
Lembrando que o somatório de alças deve ser igual ao número de SUPA</t>
  </si>
  <si>
    <t>É igual ao número de reservas</t>
  </si>
  <si>
    <t>Deve ser igual a soma de dielétricos simples e duplo,  e SUPAS em postes duplo T</t>
  </si>
  <si>
    <t>Vão entre postes</t>
  </si>
  <si>
    <t>ALÇA PREFORMADA DERIVAÇÃO EM T</t>
  </si>
  <si>
    <t>CFOA SM ASU 80 S 06 FIBRAS NR</t>
  </si>
  <si>
    <t>CFOA SM ASU 80 S 12 FIBRAS NR</t>
  </si>
  <si>
    <t>CFOA SM AS UT 80 S 06 FIBRAS NR</t>
  </si>
  <si>
    <t>CFOA SM AS UT 80 S 12 FIBRAS NR</t>
  </si>
  <si>
    <t>CFOA SM AS 80 S 18 FIBRAS NR KP</t>
  </si>
  <si>
    <t>CFOA SM AS 80 S 24 FIBRAS NR KP</t>
  </si>
  <si>
    <t>CFOA SM AS 80 S 36 FIBRAS NR KP</t>
  </si>
  <si>
    <t>CFOA SM AS 80 S 48 FIBRAS NR KP</t>
  </si>
  <si>
    <t>CFOA SM AS 80 S 72 FIBRAS NR KP</t>
  </si>
  <si>
    <t>CFOA SM AS 80 S 144 FIBRAS NR KP</t>
  </si>
  <si>
    <t>CFOA SM AS 200 S 12 FIBRAS NR KP</t>
  </si>
  <si>
    <t>CFOA SM AS 200 S 18 FIBRAS NR KP</t>
  </si>
  <si>
    <t>CFOA SM AS 200 S 24 FIBRAS NR KP</t>
  </si>
  <si>
    <t>CFOA SM AS 200 S 36 FIBRAS NR KP</t>
  </si>
  <si>
    <t>ABRAÇADEIRA BAP 3</t>
  </si>
  <si>
    <t>ISOLADOR ROLDANA 72X72 PORCELANA</t>
  </si>
  <si>
    <t>SUPORTE ANCORAGEM PARA CABOS OPTICOS (SUPA)</t>
  </si>
  <si>
    <t>RESERVA OPTILOOP (RAQUETE)</t>
  </si>
  <si>
    <t>ALÇA PREFORMADA PARA CORDOALHA 3/16 POL</t>
  </si>
  <si>
    <t>FITA DE AÇO INOX 3/4" (FITA FUSIMEC) ROLO DE 25M</t>
  </si>
  <si>
    <t>FECHO DENTADO PARA FITA DE AÇO INOX 3/4</t>
  </si>
  <si>
    <t>ALÇA PREFORMADA OPDE 1007 - 12,8mm a 14,2mm</t>
  </si>
  <si>
    <t>ALÇA PREFORMADA OPDE 1008 - 6,8mm a 7,4mm</t>
  </si>
  <si>
    <t>ALÇA PREFORMADA OPDE 1009 - 10,1mm a 11,0mm</t>
  </si>
  <si>
    <t>ALÇA PREFORMADA OPDE 1015 - 14,3mm a 16,0mm</t>
  </si>
  <si>
    <t>ALÇA PREFORMADA OPDE 1020 - 9,0mm a 9,8mm</t>
  </si>
  <si>
    <t>ALÇA PREFORMADA OPDE 1021 - 9,6mm a 10,4mm</t>
  </si>
  <si>
    <t>ALÇA PREFORMADA OPDE 1027 - 7,4mm a 8,0mm</t>
  </si>
  <si>
    <t>ABRAÇADEIRA DE NYLON</t>
  </si>
  <si>
    <t>BRAÇO DE EXTENSÃO REGULÁVEL</t>
  </si>
  <si>
    <t>ARAME DE ESPINAR (BOBINA DE 105M)</t>
  </si>
  <si>
    <t>CAIXAS DE EMENDA OPTICA DE 144 FIBRAS</t>
  </si>
  <si>
    <t>SPLITTER FUSÃO 1/2</t>
  </si>
  <si>
    <t>SPLITTER CONECTORIZADO 1/8 SC/APC</t>
  </si>
  <si>
    <t>SPLITTER CONECTORIZADO 1/8 SC/UPC</t>
  </si>
  <si>
    <t>SPLITTER CONECTORIZADO 1/16 SC/APC</t>
  </si>
  <si>
    <t>SPLITTER CONECTORIZADO 1/16 SC/UPC</t>
  </si>
  <si>
    <t>KIT DE BANDEJA PARA CAIXA TIPO FOSC - 24F</t>
  </si>
  <si>
    <t>ADAPTADOR SC/APC COM ABAS (PASSANTE)</t>
  </si>
  <si>
    <t>CABO DE AÇO CORDOALHA 3/16 POL</t>
  </si>
  <si>
    <t>Fusão</t>
  </si>
  <si>
    <t>Data center</t>
  </si>
  <si>
    <t>TAMPA CEGA 1U EM ABS COR PRETA</t>
  </si>
  <si>
    <t>KIT RODIZIO DE 4 PEÇAS COM 4 RODAS PARA RACK IPMETAL 60X60CM RP50 PL50X67</t>
  </si>
  <si>
    <t>BANDEJA DE VENTILAÇÃO DE TETO PARA RACK SERVIDOR IPMETAL 60X60CM 2 VENT. 600 MM BI-VOLT PT</t>
  </si>
  <si>
    <t>PORTA GAIOLA + PARAFUSOS</t>
  </si>
  <si>
    <t>ROLO VELCRO 3M PARA ORGANIZAR CABOS</t>
  </si>
  <si>
    <t>DIO DE 144 POSIÇÕES SC/APC COM PIGTAILS COR PRETA</t>
  </si>
  <si>
    <t>DIO DE 72 POSIÇÕES SC/APC COM PIGTAIS COR PRETA</t>
  </si>
  <si>
    <t>DIO DE 24 POSIÇÕES SC/APC COM PIGTAILS COR PRETA</t>
  </si>
  <si>
    <t>CAIXA DE EMENDA ÓPTICA FIST GCO2 B 144 FUSÕES</t>
  </si>
  <si>
    <t>KIT DERIVAÇÃO PARA CAIXA FIST 144FO CS2279-000 -GCO2-16</t>
  </si>
  <si>
    <t>CAIXA DE EMNDA ÓPTICA 72 FUSÕES - DPR</t>
  </si>
  <si>
    <t>KIT DERIVAÇÃO PARA CAIXA CEO - DPR</t>
  </si>
  <si>
    <t>CORDÕES SC-PC/ SC-APC</t>
  </si>
  <si>
    <t>GUIA DE CABO 1U EM ABS COR PRETA</t>
  </si>
  <si>
    <t>CALHA DE TOMADA PARA RACK 19" COM 12 TOMADAS - 20A (2P+T, CABO DE 2,5m COM BITOLA 2,5mm² / SEM FUSÍVEL E DISJUNTOR</t>
  </si>
  <si>
    <t>CORDÃO ÓPTICO DUPLEX MULTIMODO LC/UPC - LC/UPC 2m</t>
  </si>
  <si>
    <t>CORDÃO ÓPTICO DUPLEX MONOMODO LC/UPC - SC/APC 2m</t>
  </si>
  <si>
    <t>CORDÃO ÓPTICO DUPLEX MONOMODO LC/UPC - LC/UPC 2m</t>
  </si>
  <si>
    <t>PATCHCORD MAXITELECOM CAT6 1,5m</t>
  </si>
  <si>
    <t>PARABOLT - FIXAÇÃO DO RACK NO CHÃO</t>
  </si>
  <si>
    <t>CHASSI OLT - NA 5516</t>
  </si>
  <si>
    <t>PLACA EC8B - FIBERHOME</t>
  </si>
  <si>
    <t>SWITCH HUAWEI S5700-28X-LI-AC</t>
  </si>
  <si>
    <t>SWITCH HUAWEI 6720 48P</t>
  </si>
  <si>
    <t>SFP+ (1270nm TX/1330nm RX 20Km, 10G, BIDI)</t>
  </si>
  <si>
    <t>SFP+ (1330nm TX/1270nm RX 20Km, 10G, BIDI)</t>
  </si>
  <si>
    <t>SFP (1550nm TX/1310nm RX 20Km, 10G, BIDI)</t>
  </si>
  <si>
    <t>SFP (1310nm TX/1550nm RX 20Km, 10G, BIDI)</t>
  </si>
  <si>
    <t>SFP (MULTIMODO, 10G, DUPLEX)</t>
  </si>
  <si>
    <t>ROUTER BOARD - RB 1036 12G 4S</t>
  </si>
  <si>
    <t>GATEWAY</t>
  </si>
  <si>
    <t>FONTE 48VCC 30A - XPS</t>
  </si>
  <si>
    <t>INVERSOR 48VCC/110VCA 600W - XPS</t>
  </si>
  <si>
    <t>AR CONDICIONADO SPLIT HI WALL LG DUAL INVERTER 12000 BTUs FRIO</t>
  </si>
  <si>
    <t>REFLETOR DE LED HOLOFOTE 100W IP 66 BIVOLT PROVA D'ÁGUA - BRANCO FRIO (PARA ILUMINAÇÃO DO TERRENO)</t>
  </si>
  <si>
    <t>DISJUNTOR - DIN 30A</t>
  </si>
  <si>
    <t>PPROTETOR CONTRA SURTO - VCL 275V 20KA SLIM</t>
  </si>
  <si>
    <t>ELETRODUTO GALVANIZADO - 3/4"</t>
  </si>
  <si>
    <t>LUVA PARA ELETRODUTO - 3/4"</t>
  </si>
  <si>
    <t>ELETRODUTO CORRUGADO (CURVA) - 3/4"</t>
  </si>
  <si>
    <t>ABRAÇADEIRA TIPO D COM CUNHA - 3/4"</t>
  </si>
  <si>
    <t>PARAFUSO PARA ELETRODUTO DE 3/4"</t>
  </si>
  <si>
    <t>BUCHA COM CHAPEU PARA ELETRODUTO DE 3/4"</t>
  </si>
  <si>
    <t>ELETRODUTO CORRUGADO FLEXÍVEL - 2"</t>
  </si>
  <si>
    <t>ABRAÇADEIRA TIPO D COM CUNHA - 2"</t>
  </si>
  <si>
    <t>PARAFUSO PARA ELETRODUTO DE 2"</t>
  </si>
  <si>
    <t>BUCHA COM CHAPEU PARA ELETRODUTO DE 2"</t>
  </si>
  <si>
    <t>QUADRO DE SOBREPOR PARA 8 OU 10 DISJUNTORES</t>
  </si>
  <si>
    <t>BARRAMENTO NEUTRO/TERRA - TRILHO DIN 10 TERMINAIS</t>
  </si>
  <si>
    <t>BARRAMENTO FASE</t>
  </si>
  <si>
    <t>BARRAMENTO TERRA</t>
  </si>
  <si>
    <t>CABO FLEXÍVEL PRETO 4mm²</t>
  </si>
  <si>
    <t>CABO FLEXÍVEL VERMELHO 4mm²</t>
  </si>
  <si>
    <t>CABO FLEXÍVEL VERDE 4mm²</t>
  </si>
  <si>
    <t>BATERIAS ESTACIONÁRIAS - 12V/70AH UNIPOWER</t>
  </si>
  <si>
    <t>CABO FLEXÍVEL PRETO 6mm²</t>
  </si>
  <si>
    <t>CABO FLEXÍVEL VERMELHO 6mm²</t>
  </si>
  <si>
    <t>CABO FLEXÍVEL VERDE 6mm²</t>
  </si>
  <si>
    <t>CANECTOR ANEL M6 - 10mm e 12mm</t>
  </si>
  <si>
    <t>RACK OUTDOOR 12U</t>
  </si>
  <si>
    <t>RACK OUTDOOR 24U</t>
  </si>
  <si>
    <t>FRENTE FALSA FECHADA</t>
  </si>
  <si>
    <t>PORCA GAIOLA + PARAFUSO</t>
  </si>
  <si>
    <t xml:space="preserve"> 2,5m PARA ORGANIZAR CABOS</t>
  </si>
  <si>
    <t>DIO DE 72 POSIÇÕES - ADAPTADORES SC APC</t>
  </si>
  <si>
    <t>FGUIA DE CABO 1U - COR PRETA</t>
  </si>
  <si>
    <t>CALHA DE TOMADA PARA RACK 19" COM 12 TOMADAS - 10A ( 2T+P, CABO DE 2,5m COM BITOLA 2,5mm²)</t>
  </si>
  <si>
    <t>CORDÃO ÓPTICO DUPLEX MULTIMODO, LC-UPC, 1,5m</t>
  </si>
  <si>
    <t>PATCHCORD CAT 6 - 1,5m</t>
  </si>
  <si>
    <t>CONECTOR PRÉ-POLIDO</t>
  </si>
  <si>
    <t xml:space="preserve">FITA DE AMARRAÇÃO INOX 16 POL </t>
  </si>
  <si>
    <t>CAIXA DE TERMINAÇÃO ÓPTICA PREDIAL</t>
  </si>
  <si>
    <t>PLACA EC16B - FIBERHOME</t>
  </si>
  <si>
    <t>KIT DERIVAÇÃO PARA CAIXA DE EMENDA ÓPTICA</t>
  </si>
  <si>
    <t>SUPORTE REX ARMAÇÃO SECUNDÁRIA 1X1 PRESBOW 4,8 MM</t>
  </si>
  <si>
    <t>Valor unitário</t>
  </si>
  <si>
    <t>Valor total</t>
  </si>
  <si>
    <t>Total</t>
  </si>
  <si>
    <t>ETIQUETA ADESIVA PARA C.T.O (CAIXA CONECTORIZADA</t>
  </si>
  <si>
    <t>CTO FIBERSUL</t>
  </si>
  <si>
    <t>PONTO DE TERMINAÇÃO ÓPTICA (PTO)</t>
  </si>
  <si>
    <t>EDD 2104 G2 DATACOM DMSWITCH</t>
  </si>
  <si>
    <t>EDD 4370 DATACOM</t>
  </si>
  <si>
    <t>SUPORTE PARA CEO</t>
  </si>
  <si>
    <t>DROP FLAT 1FO</t>
  </si>
  <si>
    <t xml:space="preserve">FIGURA 08 </t>
  </si>
  <si>
    <t>Atualização: Matheus Costa (Analista de projetos)</t>
  </si>
  <si>
    <t>SPLITTER FUSÃO 1/8</t>
  </si>
  <si>
    <t>Cabo Utp</t>
  </si>
  <si>
    <t>Conectores rj45</t>
  </si>
  <si>
    <t>rb3011</t>
  </si>
  <si>
    <t>unifi</t>
  </si>
  <si>
    <t>Injetor POE</t>
  </si>
  <si>
    <t>Rack Indoor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</si>
</sst>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&quot;R$&quot;\ #,##0.00"/>
    <numFmt numFmtId="166" formatCode="_-[$R$-416]\ * #,##0.00_-;\-[$R$-416]\ * #,##0.00_-;_-[$R$-416]\ 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0" fontId="4" fillId="0" borderId="0"/>
    <xf numFmtId="9" fontId="25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1" fillId="2" borderId="4" xfId="0" applyFont="1" applyFill="1" applyBorder="1" applyAlignment="1">
      <alignment horizontal="right"/>
    </xf>
    <xf numFmtId="0" fontId="6" fillId="2" borderId="4" xfId="0" quotePrefix="1" applyFont="1" applyFill="1" applyBorder="1"/>
    <xf numFmtId="0" fontId="2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center"/>
    </xf>
    <xf numFmtId="14" fontId="6" fillId="2" borderId="4" xfId="0" applyNumberFormat="1" applyFont="1" applyFill="1" applyBorder="1" applyAlignment="1">
      <alignment horizontal="center"/>
    </xf>
    <xf numFmtId="0" fontId="6" fillId="2" borderId="4" xfId="0" quotePrefix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0" fontId="0" fillId="2" borderId="4" xfId="0" applyFill="1" applyBorder="1"/>
    <xf numFmtId="14" fontId="6" fillId="2" borderId="4" xfId="0" applyNumberFormat="1" applyFont="1" applyFill="1" applyBorder="1"/>
    <xf numFmtId="0" fontId="1" fillId="2" borderId="4" xfId="0" applyFont="1" applyFill="1" applyBorder="1"/>
    <xf numFmtId="49" fontId="9" fillId="2" borderId="4" xfId="0" applyNumberFormat="1" applyFont="1" applyFill="1" applyBorder="1" applyAlignment="1">
      <alignment vertical="distributed"/>
    </xf>
    <xf numFmtId="0" fontId="9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wrapText="1"/>
    </xf>
    <xf numFmtId="164" fontId="1" fillId="2" borderId="4" xfId="0" applyNumberFormat="1" applyFont="1" applyFill="1" applyBorder="1" applyAlignment="1">
      <alignment vertical="center" wrapText="1"/>
    </xf>
    <xf numFmtId="0" fontId="0" fillId="2" borderId="4" xfId="0" quotePrefix="1" applyFill="1" applyBorder="1" applyAlignment="1">
      <alignment vertical="center" wrapText="1"/>
    </xf>
    <xf numFmtId="0" fontId="1" fillId="2" borderId="4" xfId="0" applyFont="1" applyFill="1" applyBorder="1" applyAlignment="1">
      <alignment horizontal="right" wrapText="1"/>
    </xf>
    <xf numFmtId="0" fontId="0" fillId="0" borderId="0" xfId="0" applyAlignment="1">
      <alignment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vertical="center" wrapText="1"/>
    </xf>
    <xf numFmtId="49" fontId="1" fillId="3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left" wrapText="1"/>
    </xf>
    <xf numFmtId="0" fontId="8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15" fillId="4" borderId="14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165" fontId="17" fillId="5" borderId="1" xfId="0" applyNumberFormat="1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wrapText="1"/>
    </xf>
    <xf numFmtId="0" fontId="18" fillId="2" borderId="13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center" wrapText="1"/>
    </xf>
    <xf numFmtId="0" fontId="18" fillId="2" borderId="8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5" fontId="7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/>
    <xf numFmtId="0" fontId="14" fillId="5" borderId="19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17" fillId="5" borderId="2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/>
    </xf>
    <xf numFmtId="0" fontId="17" fillId="5" borderId="2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165" fontId="9" fillId="5" borderId="27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/>
    </xf>
    <xf numFmtId="165" fontId="9" fillId="5" borderId="11" xfId="0" applyNumberFormat="1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9" fillId="0" borderId="28" xfId="0" applyFont="1" applyBorder="1" applyAlignment="1">
      <alignment horizontal="center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wrapText="1"/>
    </xf>
    <xf numFmtId="165" fontId="23" fillId="6" borderId="9" xfId="0" applyNumberFormat="1" applyFont="1" applyFill="1" applyBorder="1" applyAlignment="1">
      <alignment horizontal="center" vertical="center"/>
    </xf>
    <xf numFmtId="165" fontId="13" fillId="6" borderId="29" xfId="0" applyNumberFormat="1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/>
    </xf>
    <xf numFmtId="0" fontId="18" fillId="2" borderId="0" xfId="0" applyFont="1" applyFill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23" fillId="4" borderId="15" xfId="0" applyFont="1" applyFill="1" applyBorder="1" applyAlignment="1">
      <alignment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" fillId="5" borderId="25" xfId="0" applyFont="1" applyFill="1" applyBorder="1" applyAlignment="1">
      <alignment vertical="center"/>
    </xf>
    <xf numFmtId="9" fontId="7" fillId="0" borderId="0" xfId="4" applyFont="1" applyAlignment="1">
      <alignment horizontal="center" vertical="center"/>
    </xf>
    <xf numFmtId="0" fontId="24" fillId="5" borderId="9" xfId="0" quotePrefix="1" applyFont="1" applyFill="1" applyBorder="1" applyAlignment="1">
      <alignment horizontal="center" vertical="center"/>
    </xf>
    <xf numFmtId="0" fontId="24" fillId="5" borderId="12" xfId="0" quotePrefix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164" fontId="14" fillId="5" borderId="3" xfId="0" applyNumberFormat="1" applyFont="1" applyFill="1" applyBorder="1" applyAlignment="1">
      <alignment horizontal="center" vertical="center"/>
    </xf>
    <xf numFmtId="164" fontId="14" fillId="5" borderId="34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left" vertical="center"/>
    </xf>
    <xf numFmtId="0" fontId="23" fillId="4" borderId="15" xfId="0" applyFont="1" applyFill="1" applyBorder="1" applyAlignment="1">
      <alignment horizontal="left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distributed"/>
    </xf>
    <xf numFmtId="165" fontId="13" fillId="6" borderId="1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</cellXfs>
  <cellStyles count="5">
    <cellStyle name="Normal" xfId="0" builtinId="0"/>
    <cellStyle name="Normal 2" xfId="1" xr:uid="{00000000-0005-0000-0000-000002000000}"/>
    <cellStyle name="Normal 2 2" xfId="3" xr:uid="{00000000-0005-0000-0000-000003000000}"/>
    <cellStyle name="Normal 2 3" xfId="2" xr:uid="{00000000-0005-0000-0000-000004000000}"/>
    <cellStyle name="Porcentagem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252940</xdr:colOff>
      <xdr:row>1</xdr:row>
      <xdr:rowOff>210213</xdr:rowOff>
    </xdr:from>
    <xdr:to>
      <xdr:col>7</xdr:col>
      <xdr:colOff>1097943</xdr:colOff>
      <xdr:row>3</xdr:row>
      <xdr:rowOff>116415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3" y="453630"/>
          <a:ext cx="2006841" cy="488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638175</xdr:colOff>
      <xdr:row>1</xdr:row>
      <xdr:rowOff>28576</xdr:rowOff>
    </xdr:from>
    <xdr:to>
      <xdr:col>8</xdr:col>
      <xdr:colOff>1748518</xdr:colOff>
      <xdr:row>2</xdr:row>
      <xdr:rowOff>276226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6075" y="219076"/>
          <a:ext cx="1104900" cy="438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2"/>
  <sheetViews>
    <sheetView tabSelected="1" zoomScaleNormal="100" workbookViewId="0">
      <pane ySplit="8" topLeftCell="A9" activePane="bottomLeft" state="frozen"/>
      <selection pane="bottomLeft" activeCell="J16" sqref="J16"/>
    </sheetView>
  </sheetViews>
  <sheetFormatPr defaultColWidth="9.28515625" defaultRowHeight="12.75" x14ac:dyDescent="0.2"/>
  <cols>
    <col min="1" max="1" width="14.5703125" style="55" customWidth="1"/>
    <col min="2" max="2" width="61.28515625" style="33" customWidth="1"/>
    <col min="3" max="3" width="10.7109375" style="33" customWidth="1"/>
    <col min="4" max="5" width="11" style="52" customWidth="1"/>
    <col min="6" max="6" width="11.42578125" style="33" customWidth="1"/>
    <col min="7" max="7" width="17.7109375" style="56" customWidth="1"/>
    <col min="8" max="8" width="17.7109375" style="41" customWidth="1"/>
    <col min="9" max="9" width="13.7109375" style="73" bestFit="1" customWidth="1"/>
    <col min="10" max="16384" width="9.28515625" style="34"/>
  </cols>
  <sheetData>
    <row r="1" spans="1:9" ht="20.100000000000001" customHeight="1" x14ac:dyDescent="0.2">
      <c r="A1" s="96" t="s">
        <v>329</v>
      </c>
      <c r="B1" s="96"/>
      <c r="C1" s="96"/>
      <c r="D1" s="96"/>
      <c r="E1" s="96"/>
      <c r="F1" s="96"/>
      <c r="G1" s="96"/>
      <c r="H1" s="96"/>
    </row>
    <row r="2" spans="1:9" ht="16.5" customHeight="1" x14ac:dyDescent="0.2">
      <c r="A2" s="104"/>
      <c r="B2" s="104"/>
      <c r="C2" s="104"/>
      <c r="D2" s="104"/>
      <c r="E2" s="105"/>
      <c r="F2" s="105"/>
      <c r="G2" s="98"/>
      <c r="H2" s="98"/>
    </row>
    <row r="3" spans="1:9" ht="29.25" customHeight="1" x14ac:dyDescent="0.2">
      <c r="A3" s="97"/>
      <c r="B3" s="98"/>
      <c r="C3" s="98"/>
      <c r="D3" s="98"/>
      <c r="E3" s="99"/>
      <c r="F3" s="99"/>
      <c r="G3" s="98"/>
      <c r="H3" s="98"/>
    </row>
    <row r="4" spans="1:9" ht="20.100000000000001" customHeight="1" x14ac:dyDescent="0.2">
      <c r="A4" s="83"/>
      <c r="B4" s="62"/>
      <c r="C4" s="84"/>
      <c r="D4" s="102"/>
      <c r="E4" s="103"/>
      <c r="F4" s="103"/>
      <c r="G4" s="98"/>
      <c r="H4" s="98"/>
    </row>
    <row r="5" spans="1:9" ht="20.100000000000001" customHeight="1" x14ac:dyDescent="0.2">
      <c r="A5" s="92"/>
      <c r="B5" s="106"/>
      <c r="C5" s="107"/>
      <c r="D5" s="107"/>
      <c r="E5" s="107"/>
      <c r="F5" s="108"/>
      <c r="G5" s="98"/>
      <c r="H5" s="98"/>
    </row>
    <row r="6" spans="1:9" ht="20.100000000000001" customHeight="1" thickBot="1" x14ac:dyDescent="0.25">
      <c r="A6" s="100"/>
      <c r="B6" s="101"/>
      <c r="C6" s="85"/>
      <c r="D6" s="94"/>
      <c r="E6" s="95"/>
      <c r="F6" s="95"/>
      <c r="G6" s="98"/>
      <c r="H6" s="98"/>
    </row>
    <row r="7" spans="1:9" ht="20.100000000000001" customHeight="1" thickBot="1" x14ac:dyDescent="0.25">
      <c r="A7" s="35"/>
      <c r="B7" s="86"/>
      <c r="C7" s="58"/>
      <c r="D7" s="112"/>
      <c r="E7" s="113"/>
      <c r="F7" s="113"/>
      <c r="G7" s="122"/>
      <c r="H7" s="122"/>
    </row>
    <row r="8" spans="1:9" ht="38.25" customHeight="1" thickBot="1" x14ac:dyDescent="0.25">
      <c r="A8" s="64"/>
      <c r="B8" s="57"/>
      <c r="C8" s="36"/>
      <c r="D8" s="61"/>
      <c r="E8" s="63"/>
      <c r="F8" s="63"/>
      <c r="G8" s="123"/>
      <c r="H8" s="123"/>
    </row>
    <row r="9" spans="1:9" ht="16.5" thickBot="1" x14ac:dyDescent="0.25">
      <c r="A9" s="114" t="s">
        <v>6</v>
      </c>
      <c r="B9" s="115"/>
      <c r="C9" s="115"/>
      <c r="D9" s="115"/>
      <c r="E9" s="115"/>
      <c r="F9" s="116"/>
      <c r="G9" s="87" t="s">
        <v>318</v>
      </c>
      <c r="H9" s="88" t="s">
        <v>319</v>
      </c>
      <c r="I9" s="93"/>
    </row>
    <row r="10" spans="1:9" x14ac:dyDescent="0.2">
      <c r="A10" s="66"/>
      <c r="B10" s="39" t="s">
        <v>215</v>
      </c>
      <c r="C10" s="40"/>
      <c r="D10" s="59"/>
      <c r="E10" s="59"/>
      <c r="F10" s="60"/>
      <c r="G10" s="67"/>
      <c r="H10" s="67">
        <f>G10*$I$9</f>
        <v>0</v>
      </c>
    </row>
    <row r="11" spans="1:9" x14ac:dyDescent="0.2">
      <c r="A11" s="66"/>
      <c r="B11" s="39" t="s">
        <v>12</v>
      </c>
      <c r="C11" s="40"/>
      <c r="D11" s="59"/>
      <c r="E11" s="59"/>
      <c r="F11" s="60"/>
      <c r="G11" s="67"/>
      <c r="H11" s="67">
        <f t="shared" ref="H11:H40" si="0">G11*$I$9</f>
        <v>0</v>
      </c>
    </row>
    <row r="12" spans="1:9" x14ac:dyDescent="0.2">
      <c r="A12" s="66"/>
      <c r="B12" s="39"/>
      <c r="C12" s="40"/>
      <c r="D12" s="59"/>
      <c r="E12" s="59"/>
      <c r="F12" s="60"/>
      <c r="G12" s="67"/>
      <c r="H12" s="67">
        <f t="shared" si="0"/>
        <v>0</v>
      </c>
    </row>
    <row r="13" spans="1:9" x14ac:dyDescent="0.2">
      <c r="A13" s="66"/>
      <c r="B13" s="39" t="s">
        <v>216</v>
      </c>
      <c r="C13" s="40"/>
      <c r="D13" s="59"/>
      <c r="E13" s="59"/>
      <c r="F13" s="60"/>
      <c r="G13" s="67"/>
      <c r="H13" s="67">
        <f t="shared" si="0"/>
        <v>0</v>
      </c>
    </row>
    <row r="14" spans="1:9" x14ac:dyDescent="0.2">
      <c r="A14" s="66"/>
      <c r="B14" s="39" t="s">
        <v>317</v>
      </c>
      <c r="C14" s="40"/>
      <c r="D14" s="59"/>
      <c r="E14" s="59"/>
      <c r="F14" s="60"/>
      <c r="G14" s="67"/>
      <c r="H14" s="67">
        <f t="shared" si="0"/>
        <v>0</v>
      </c>
    </row>
    <row r="15" spans="1:9" x14ac:dyDescent="0.2">
      <c r="A15" s="66"/>
      <c r="B15" s="39" t="s">
        <v>217</v>
      </c>
      <c r="C15" s="40"/>
      <c r="D15" s="59"/>
      <c r="E15" s="59"/>
      <c r="F15" s="60"/>
      <c r="G15" s="67"/>
      <c r="H15" s="67">
        <f t="shared" si="0"/>
        <v>0</v>
      </c>
    </row>
    <row r="16" spans="1:9" x14ac:dyDescent="0.2">
      <c r="A16" s="66"/>
      <c r="B16" s="39" t="s">
        <v>13</v>
      </c>
      <c r="C16" s="40"/>
      <c r="D16" s="59"/>
      <c r="E16" s="59"/>
      <c r="F16" s="60"/>
      <c r="G16" s="67"/>
      <c r="H16" s="67">
        <f t="shared" si="0"/>
        <v>0</v>
      </c>
    </row>
    <row r="17" spans="1:8" x14ac:dyDescent="0.2">
      <c r="A17" s="66"/>
      <c r="B17" s="39" t="s">
        <v>8</v>
      </c>
      <c r="C17" s="40"/>
      <c r="D17" s="59"/>
      <c r="E17" s="59"/>
      <c r="F17" s="60"/>
      <c r="G17" s="67"/>
      <c r="H17" s="67">
        <f t="shared" si="0"/>
        <v>0</v>
      </c>
    </row>
    <row r="18" spans="1:8" x14ac:dyDescent="0.2">
      <c r="A18" s="66"/>
      <c r="B18" s="39" t="s">
        <v>218</v>
      </c>
      <c r="C18" s="40"/>
      <c r="D18" s="59"/>
      <c r="E18" s="59"/>
      <c r="F18" s="60"/>
      <c r="G18" s="67"/>
      <c r="H18" s="67">
        <f t="shared" si="0"/>
        <v>0</v>
      </c>
    </row>
    <row r="19" spans="1:8" x14ac:dyDescent="0.2">
      <c r="A19" s="66"/>
      <c r="B19" s="39" t="s">
        <v>10</v>
      </c>
      <c r="C19" s="40"/>
      <c r="D19" s="59"/>
      <c r="E19" s="59"/>
      <c r="F19" s="60"/>
      <c r="G19" s="67"/>
      <c r="H19" s="67">
        <f t="shared" si="0"/>
        <v>0</v>
      </c>
    </row>
    <row r="20" spans="1:8" x14ac:dyDescent="0.2">
      <c r="A20" s="66"/>
      <c r="B20" s="39" t="s">
        <v>91</v>
      </c>
      <c r="C20" s="40"/>
      <c r="D20" s="59"/>
      <c r="E20" s="59"/>
      <c r="F20" s="60"/>
      <c r="G20" s="67"/>
      <c r="H20" s="67">
        <f t="shared" si="0"/>
        <v>0</v>
      </c>
    </row>
    <row r="21" spans="1:8" x14ac:dyDescent="0.2">
      <c r="A21" s="66"/>
      <c r="B21" s="39" t="s">
        <v>313</v>
      </c>
      <c r="C21" s="40"/>
      <c r="D21" s="59"/>
      <c r="E21" s="59"/>
      <c r="F21" s="60"/>
      <c r="G21" s="67"/>
      <c r="H21" s="67">
        <f t="shared" si="0"/>
        <v>0</v>
      </c>
    </row>
    <row r="22" spans="1:8" x14ac:dyDescent="0.2">
      <c r="A22" s="66"/>
      <c r="B22" s="39" t="s">
        <v>200</v>
      </c>
      <c r="C22" s="40"/>
      <c r="D22" s="59"/>
      <c r="E22" s="59"/>
      <c r="F22" s="60"/>
      <c r="G22" s="67"/>
      <c r="H22" s="67">
        <f t="shared" si="0"/>
        <v>0</v>
      </c>
    </row>
    <row r="23" spans="1:8" x14ac:dyDescent="0.2">
      <c r="A23" s="66"/>
      <c r="B23" s="39" t="s">
        <v>219</v>
      </c>
      <c r="C23" s="40"/>
      <c r="D23" s="59"/>
      <c r="E23" s="59"/>
      <c r="F23" s="60"/>
      <c r="G23" s="67"/>
      <c r="H23" s="67">
        <f t="shared" si="0"/>
        <v>0</v>
      </c>
    </row>
    <row r="24" spans="1:8" x14ac:dyDescent="0.2">
      <c r="A24" s="66"/>
      <c r="B24" s="39" t="s">
        <v>240</v>
      </c>
      <c r="C24" s="40"/>
      <c r="D24" s="59"/>
      <c r="E24" s="59"/>
      <c r="F24" s="60"/>
      <c r="G24" s="67"/>
      <c r="H24" s="67">
        <f t="shared" si="0"/>
        <v>0</v>
      </c>
    </row>
    <row r="25" spans="1:8" x14ac:dyDescent="0.2">
      <c r="A25" s="66"/>
      <c r="B25" s="39" t="s">
        <v>220</v>
      </c>
      <c r="C25" s="40"/>
      <c r="D25" s="59"/>
      <c r="E25" s="59"/>
      <c r="F25" s="60"/>
      <c r="G25" s="67"/>
      <c r="H25" s="67">
        <f t="shared" si="0"/>
        <v>0</v>
      </c>
    </row>
    <row r="26" spans="1:8" x14ac:dyDescent="0.2">
      <c r="A26" s="66"/>
      <c r="B26" s="39" t="s">
        <v>221</v>
      </c>
      <c r="C26" s="40"/>
      <c r="D26" s="59"/>
      <c r="E26" s="59"/>
      <c r="F26" s="60"/>
      <c r="G26" s="67"/>
      <c r="H26" s="67">
        <f t="shared" si="0"/>
        <v>0</v>
      </c>
    </row>
    <row r="27" spans="1:8" x14ac:dyDescent="0.2">
      <c r="A27" s="66"/>
      <c r="B27" s="39" t="s">
        <v>14</v>
      </c>
      <c r="C27" s="40"/>
      <c r="D27" s="59"/>
      <c r="E27" s="59"/>
      <c r="F27" s="60"/>
      <c r="G27" s="67"/>
      <c r="H27" s="67">
        <f t="shared" si="0"/>
        <v>0</v>
      </c>
    </row>
    <row r="28" spans="1:8" x14ac:dyDescent="0.2">
      <c r="A28" s="66"/>
      <c r="B28" s="39" t="s">
        <v>15</v>
      </c>
      <c r="C28" s="40"/>
      <c r="D28" s="59"/>
      <c r="E28" s="59"/>
      <c r="F28" s="60"/>
      <c r="G28" s="67"/>
      <c r="H28" s="67">
        <f t="shared" si="0"/>
        <v>0</v>
      </c>
    </row>
    <row r="29" spans="1:8" x14ac:dyDescent="0.2">
      <c r="A29" s="66"/>
      <c r="B29" s="42" t="s">
        <v>222</v>
      </c>
      <c r="C29" s="40"/>
      <c r="D29" s="59"/>
      <c r="E29" s="59"/>
      <c r="F29" s="60"/>
      <c r="G29" s="67"/>
      <c r="H29" s="67">
        <f t="shared" si="0"/>
        <v>0</v>
      </c>
    </row>
    <row r="30" spans="1:8" x14ac:dyDescent="0.2">
      <c r="A30" s="66"/>
      <c r="B30" s="42" t="s">
        <v>223</v>
      </c>
      <c r="C30" s="40"/>
      <c r="D30" s="59"/>
      <c r="E30" s="59"/>
      <c r="F30" s="60"/>
      <c r="G30" s="67"/>
      <c r="H30" s="67">
        <f t="shared" si="0"/>
        <v>0</v>
      </c>
    </row>
    <row r="31" spans="1:8" x14ac:dyDescent="0.2">
      <c r="A31" s="66"/>
      <c r="B31" s="42" t="s">
        <v>224</v>
      </c>
      <c r="C31" s="40"/>
      <c r="D31" s="59"/>
      <c r="E31" s="59"/>
      <c r="F31" s="60"/>
      <c r="G31" s="67"/>
      <c r="H31" s="67">
        <f t="shared" si="0"/>
        <v>0</v>
      </c>
    </row>
    <row r="32" spans="1:8" x14ac:dyDescent="0.2">
      <c r="A32" s="66"/>
      <c r="B32" s="42" t="s">
        <v>225</v>
      </c>
      <c r="C32" s="40"/>
      <c r="D32" s="59"/>
      <c r="E32" s="59"/>
      <c r="F32" s="60"/>
      <c r="G32" s="67"/>
      <c r="H32" s="67">
        <f t="shared" si="0"/>
        <v>0</v>
      </c>
    </row>
    <row r="33" spans="1:8" x14ac:dyDescent="0.2">
      <c r="A33" s="66"/>
      <c r="B33" s="42" t="s">
        <v>226</v>
      </c>
      <c r="C33" s="40"/>
      <c r="D33" s="59"/>
      <c r="E33" s="59"/>
      <c r="F33" s="60"/>
      <c r="G33" s="67"/>
      <c r="H33" s="67">
        <f t="shared" si="0"/>
        <v>0</v>
      </c>
    </row>
    <row r="34" spans="1:8" x14ac:dyDescent="0.2">
      <c r="A34" s="66"/>
      <c r="B34" s="42" t="s">
        <v>227</v>
      </c>
      <c r="C34" s="40"/>
      <c r="D34" s="59"/>
      <c r="E34" s="59"/>
      <c r="F34" s="60"/>
      <c r="G34" s="67"/>
      <c r="H34" s="67">
        <f t="shared" si="0"/>
        <v>0</v>
      </c>
    </row>
    <row r="35" spans="1:8" x14ac:dyDescent="0.2">
      <c r="A35" s="66"/>
      <c r="B35" s="42" t="s">
        <v>228</v>
      </c>
      <c r="C35" s="40"/>
      <c r="D35" s="59"/>
      <c r="E35" s="59"/>
      <c r="F35" s="60"/>
      <c r="G35" s="67"/>
      <c r="H35" s="67">
        <f t="shared" si="0"/>
        <v>0</v>
      </c>
    </row>
    <row r="36" spans="1:8" x14ac:dyDescent="0.2">
      <c r="A36" s="66"/>
      <c r="B36" s="42" t="s">
        <v>229</v>
      </c>
      <c r="C36" s="40"/>
      <c r="D36" s="59"/>
      <c r="E36" s="59"/>
      <c r="F36" s="60"/>
      <c r="G36" s="67"/>
      <c r="H36" s="67">
        <f t="shared" si="0"/>
        <v>0</v>
      </c>
    </row>
    <row r="37" spans="1:8" x14ac:dyDescent="0.2">
      <c r="A37" s="66"/>
      <c r="B37" s="42" t="s">
        <v>230</v>
      </c>
      <c r="C37" s="40"/>
      <c r="D37" s="59"/>
      <c r="E37" s="59"/>
      <c r="F37" s="60"/>
      <c r="G37" s="67"/>
      <c r="H37" s="67">
        <f t="shared" si="0"/>
        <v>0</v>
      </c>
    </row>
    <row r="38" spans="1:8" x14ac:dyDescent="0.2">
      <c r="A38" s="66"/>
      <c r="B38" s="42" t="s">
        <v>113</v>
      </c>
      <c r="C38" s="40"/>
      <c r="D38" s="59"/>
      <c r="E38" s="59"/>
      <c r="F38" s="60"/>
      <c r="G38" s="67"/>
      <c r="H38" s="67">
        <f t="shared" si="0"/>
        <v>0</v>
      </c>
    </row>
    <row r="39" spans="1:8" x14ac:dyDescent="0.2">
      <c r="A39" s="66"/>
      <c r="B39" s="42" t="s">
        <v>231</v>
      </c>
      <c r="C39" s="40"/>
      <c r="D39" s="59"/>
      <c r="E39" s="59"/>
      <c r="F39" s="60"/>
      <c r="G39" s="67"/>
      <c r="H39" s="67">
        <f t="shared" si="0"/>
        <v>0</v>
      </c>
    </row>
    <row r="40" spans="1:8" x14ac:dyDescent="0.2">
      <c r="A40" s="66"/>
      <c r="B40" s="42" t="s">
        <v>19</v>
      </c>
      <c r="C40" s="40"/>
      <c r="D40" s="60"/>
      <c r="E40" s="60"/>
      <c r="F40" s="60"/>
      <c r="G40" s="67"/>
      <c r="H40" s="67">
        <f t="shared" si="0"/>
        <v>0</v>
      </c>
    </row>
    <row r="41" spans="1:8" ht="15.75" thickBot="1" x14ac:dyDescent="0.25">
      <c r="A41" s="79"/>
      <c r="B41" s="75"/>
      <c r="C41" s="75"/>
      <c r="D41" s="76"/>
      <c r="E41" s="76"/>
      <c r="F41" s="76"/>
      <c r="G41" s="77" t="s">
        <v>320</v>
      </c>
      <c r="H41" s="67"/>
    </row>
    <row r="42" spans="1:8" ht="16.5" thickBot="1" x14ac:dyDescent="0.25">
      <c r="A42" s="117" t="s">
        <v>7</v>
      </c>
      <c r="B42" s="118"/>
      <c r="C42" s="118"/>
      <c r="D42" s="118"/>
      <c r="E42" s="118"/>
      <c r="F42" s="118"/>
      <c r="G42" s="118"/>
      <c r="H42" s="119"/>
    </row>
    <row r="43" spans="1:8" x14ac:dyDescent="0.2">
      <c r="A43" s="68"/>
      <c r="B43" s="43" t="s">
        <v>327</v>
      </c>
      <c r="C43" s="44"/>
      <c r="D43" s="59"/>
      <c r="E43" s="59"/>
      <c r="F43" s="59"/>
      <c r="G43" s="65"/>
      <c r="H43" s="65">
        <f>G43*$I$9</f>
        <v>0</v>
      </c>
    </row>
    <row r="44" spans="1:8" x14ac:dyDescent="0.2">
      <c r="A44" s="68"/>
      <c r="B44" s="43" t="s">
        <v>328</v>
      </c>
      <c r="C44" s="44"/>
      <c r="D44" s="59"/>
      <c r="E44" s="59"/>
      <c r="F44" s="59"/>
      <c r="G44" s="65"/>
      <c r="H44" s="65">
        <f t="shared" ref="H44:H58" si="1">G44*$I$9</f>
        <v>0</v>
      </c>
    </row>
    <row r="45" spans="1:8" x14ac:dyDescent="0.2">
      <c r="A45" s="68"/>
      <c r="B45" s="43" t="s">
        <v>201</v>
      </c>
      <c r="C45" s="44"/>
      <c r="D45" s="59"/>
      <c r="E45" s="59"/>
      <c r="F45" s="59"/>
      <c r="G45" s="65"/>
      <c r="H45" s="65">
        <f t="shared" si="1"/>
        <v>0</v>
      </c>
    </row>
    <row r="46" spans="1:8" x14ac:dyDescent="0.2">
      <c r="A46" s="69"/>
      <c r="B46" s="45" t="s">
        <v>202</v>
      </c>
      <c r="C46" s="44"/>
      <c r="D46" s="59"/>
      <c r="E46" s="59"/>
      <c r="F46" s="60"/>
      <c r="G46" s="65"/>
      <c r="H46" s="65">
        <f t="shared" si="1"/>
        <v>0</v>
      </c>
    </row>
    <row r="47" spans="1:8" x14ac:dyDescent="0.2">
      <c r="A47" s="69"/>
      <c r="B47" s="45" t="s">
        <v>203</v>
      </c>
      <c r="C47" s="44"/>
      <c r="D47" s="59"/>
      <c r="E47" s="59"/>
      <c r="F47" s="60"/>
      <c r="G47" s="65"/>
      <c r="H47" s="65">
        <f t="shared" si="1"/>
        <v>0</v>
      </c>
    </row>
    <row r="48" spans="1:8" x14ac:dyDescent="0.2">
      <c r="A48" s="69"/>
      <c r="B48" s="45" t="s">
        <v>204</v>
      </c>
      <c r="C48" s="44"/>
      <c r="D48" s="59"/>
      <c r="E48" s="59"/>
      <c r="F48" s="60"/>
      <c r="G48" s="65"/>
      <c r="H48" s="65">
        <f t="shared" si="1"/>
        <v>0</v>
      </c>
    </row>
    <row r="49" spans="1:8" x14ac:dyDescent="0.2">
      <c r="A49" s="69"/>
      <c r="B49" s="45" t="s">
        <v>205</v>
      </c>
      <c r="C49" s="44"/>
      <c r="D49" s="59"/>
      <c r="E49" s="59"/>
      <c r="F49" s="60"/>
      <c r="G49" s="65"/>
      <c r="H49" s="65">
        <f t="shared" si="1"/>
        <v>0</v>
      </c>
    </row>
    <row r="50" spans="1:8" x14ac:dyDescent="0.2">
      <c r="A50" s="69"/>
      <c r="B50" s="45" t="s">
        <v>206</v>
      </c>
      <c r="C50" s="44"/>
      <c r="D50" s="59"/>
      <c r="E50" s="59"/>
      <c r="F50" s="60"/>
      <c r="G50" s="65"/>
      <c r="H50" s="65">
        <f t="shared" si="1"/>
        <v>0</v>
      </c>
    </row>
    <row r="51" spans="1:8" x14ac:dyDescent="0.2">
      <c r="A51" s="69"/>
      <c r="B51" s="45" t="s">
        <v>207</v>
      </c>
      <c r="C51" s="44"/>
      <c r="D51" s="59"/>
      <c r="E51" s="59"/>
      <c r="F51" s="60"/>
      <c r="G51" s="65"/>
      <c r="H51" s="65">
        <f t="shared" si="1"/>
        <v>0</v>
      </c>
    </row>
    <row r="52" spans="1:8" x14ac:dyDescent="0.2">
      <c r="A52" s="69"/>
      <c r="B52" s="45" t="s">
        <v>208</v>
      </c>
      <c r="C52" s="44"/>
      <c r="D52" s="59"/>
      <c r="E52" s="59"/>
      <c r="F52" s="60"/>
      <c r="G52" s="65"/>
      <c r="H52" s="65">
        <f t="shared" si="1"/>
        <v>0</v>
      </c>
    </row>
    <row r="53" spans="1:8" x14ac:dyDescent="0.2">
      <c r="A53" s="69"/>
      <c r="B53" s="45" t="s">
        <v>209</v>
      </c>
      <c r="C53" s="44"/>
      <c r="D53" s="59"/>
      <c r="E53" s="59"/>
      <c r="F53" s="60"/>
      <c r="G53" s="65"/>
      <c r="H53" s="65">
        <f t="shared" si="1"/>
        <v>0</v>
      </c>
    </row>
    <row r="54" spans="1:8" x14ac:dyDescent="0.2">
      <c r="A54" s="69"/>
      <c r="B54" s="45" t="s">
        <v>210</v>
      </c>
      <c r="C54" s="44"/>
      <c r="D54" s="59"/>
      <c r="E54" s="59"/>
      <c r="F54" s="60"/>
      <c r="G54" s="65"/>
      <c r="H54" s="65">
        <f t="shared" si="1"/>
        <v>0</v>
      </c>
    </row>
    <row r="55" spans="1:8" x14ac:dyDescent="0.2">
      <c r="A55" s="69"/>
      <c r="B55" s="45" t="s">
        <v>211</v>
      </c>
      <c r="C55" s="44"/>
      <c r="D55" s="59"/>
      <c r="E55" s="59"/>
      <c r="F55" s="60"/>
      <c r="G55" s="65"/>
      <c r="H55" s="65">
        <f t="shared" si="1"/>
        <v>0</v>
      </c>
    </row>
    <row r="56" spans="1:8" x14ac:dyDescent="0.2">
      <c r="A56" s="69"/>
      <c r="B56" s="45" t="s">
        <v>212</v>
      </c>
      <c r="C56" s="44"/>
      <c r="D56" s="59"/>
      <c r="E56" s="59"/>
      <c r="F56" s="60"/>
      <c r="G56" s="65"/>
      <c r="H56" s="65">
        <f t="shared" si="1"/>
        <v>0</v>
      </c>
    </row>
    <row r="57" spans="1:8" x14ac:dyDescent="0.2">
      <c r="A57" s="69"/>
      <c r="B57" s="45" t="s">
        <v>213</v>
      </c>
      <c r="C57" s="44"/>
      <c r="D57" s="59"/>
      <c r="E57" s="59"/>
      <c r="F57" s="60"/>
      <c r="G57" s="65"/>
      <c r="H57" s="65">
        <f t="shared" si="1"/>
        <v>0</v>
      </c>
    </row>
    <row r="58" spans="1:8" x14ac:dyDescent="0.2">
      <c r="A58" s="69"/>
      <c r="B58" s="45" t="s">
        <v>214</v>
      </c>
      <c r="C58" s="81"/>
      <c r="D58" s="60"/>
      <c r="E58" s="60"/>
      <c r="F58" s="60"/>
      <c r="G58" s="65"/>
      <c r="H58" s="65">
        <f t="shared" si="1"/>
        <v>0</v>
      </c>
    </row>
    <row r="59" spans="1:8" ht="15.75" thickBot="1" x14ac:dyDescent="0.25">
      <c r="A59" s="79"/>
      <c r="B59" s="80"/>
      <c r="C59" s="80"/>
      <c r="D59" s="76"/>
      <c r="E59" s="76"/>
      <c r="F59" s="76"/>
      <c r="G59" s="77" t="s">
        <v>320</v>
      </c>
      <c r="H59" s="65"/>
    </row>
    <row r="60" spans="1:8" ht="16.5" thickBot="1" x14ac:dyDescent="0.25">
      <c r="A60" s="117" t="s">
        <v>241</v>
      </c>
      <c r="B60" s="118"/>
      <c r="C60" s="118"/>
      <c r="D60" s="118"/>
      <c r="E60" s="118"/>
      <c r="F60" s="118"/>
      <c r="G60" s="120"/>
      <c r="H60" s="119"/>
    </row>
    <row r="61" spans="1:8" x14ac:dyDescent="0.2">
      <c r="A61" s="71"/>
      <c r="B61" s="42" t="s">
        <v>321</v>
      </c>
      <c r="C61" s="40"/>
      <c r="D61" s="60"/>
      <c r="E61" s="60"/>
      <c r="F61" s="60"/>
      <c r="G61" s="38"/>
      <c r="H61" s="67"/>
    </row>
    <row r="62" spans="1:8" x14ac:dyDescent="0.2">
      <c r="A62" s="71"/>
      <c r="B62" s="42" t="s">
        <v>322</v>
      </c>
      <c r="C62" s="40"/>
      <c r="D62" s="60"/>
      <c r="E62" s="60"/>
      <c r="F62" s="60"/>
      <c r="G62" s="67"/>
      <c r="H62" s="67">
        <f>G62*$I$9</f>
        <v>0</v>
      </c>
    </row>
    <row r="63" spans="1:8" x14ac:dyDescent="0.2">
      <c r="A63" s="70"/>
      <c r="B63" s="46" t="s">
        <v>16</v>
      </c>
      <c r="C63" s="37"/>
      <c r="D63" s="59"/>
      <c r="E63" s="59"/>
      <c r="F63" s="59"/>
      <c r="G63" s="67"/>
      <c r="H63" s="67">
        <f t="shared" ref="H63:H84" si="2">G63*$I$9</f>
        <v>0</v>
      </c>
    </row>
    <row r="64" spans="1:8" x14ac:dyDescent="0.2">
      <c r="A64" s="71"/>
      <c r="B64" s="42" t="s">
        <v>232</v>
      </c>
      <c r="C64" s="40"/>
      <c r="D64" s="60"/>
      <c r="E64" s="60"/>
      <c r="F64" s="60"/>
      <c r="G64" s="67"/>
      <c r="H64" s="67">
        <f t="shared" si="2"/>
        <v>0</v>
      </c>
    </row>
    <row r="65" spans="1:8" x14ac:dyDescent="0.2">
      <c r="A65" s="71"/>
      <c r="B65" s="42" t="s">
        <v>17</v>
      </c>
      <c r="C65" s="40"/>
      <c r="D65" s="60"/>
      <c r="E65" s="60"/>
      <c r="F65" s="60"/>
      <c r="G65" s="67"/>
      <c r="H65" s="67">
        <f t="shared" si="2"/>
        <v>0</v>
      </c>
    </row>
    <row r="66" spans="1:8" x14ac:dyDescent="0.2">
      <c r="A66" s="71"/>
      <c r="B66" s="42" t="s">
        <v>326</v>
      </c>
      <c r="C66" s="40"/>
      <c r="D66" s="60"/>
      <c r="E66" s="60"/>
      <c r="F66" s="60"/>
      <c r="G66" s="67"/>
      <c r="H66" s="67">
        <f t="shared" si="2"/>
        <v>0</v>
      </c>
    </row>
    <row r="67" spans="1:8" x14ac:dyDescent="0.2">
      <c r="A67" s="71"/>
      <c r="B67" s="42" t="s">
        <v>233</v>
      </c>
      <c r="C67" s="40"/>
      <c r="D67" s="60"/>
      <c r="E67" s="60"/>
      <c r="F67" s="60"/>
      <c r="G67" s="67"/>
      <c r="H67" s="67">
        <f t="shared" si="2"/>
        <v>0</v>
      </c>
    </row>
    <row r="68" spans="1:8" x14ac:dyDescent="0.2">
      <c r="A68" s="71"/>
      <c r="B68" s="42" t="s">
        <v>18</v>
      </c>
      <c r="C68" s="40"/>
      <c r="D68" s="60"/>
      <c r="E68" s="60"/>
      <c r="F68" s="60"/>
      <c r="G68" s="67"/>
      <c r="H68" s="67">
        <f t="shared" si="2"/>
        <v>0</v>
      </c>
    </row>
    <row r="69" spans="1:8" x14ac:dyDescent="0.2">
      <c r="A69" s="71"/>
      <c r="B69" s="42" t="s">
        <v>330</v>
      </c>
      <c r="C69" s="40"/>
      <c r="D69" s="60"/>
      <c r="E69" s="60"/>
      <c r="F69" s="60"/>
      <c r="G69" s="67"/>
      <c r="H69" s="67">
        <f t="shared" si="2"/>
        <v>0</v>
      </c>
    </row>
    <row r="70" spans="1:8" x14ac:dyDescent="0.2">
      <c r="A70" s="71"/>
      <c r="B70" s="42" t="s">
        <v>234</v>
      </c>
      <c r="C70" s="40"/>
      <c r="D70" s="60"/>
      <c r="E70" s="60"/>
      <c r="F70" s="60"/>
      <c r="G70" s="67"/>
      <c r="H70" s="67">
        <f t="shared" si="2"/>
        <v>0</v>
      </c>
    </row>
    <row r="71" spans="1:8" x14ac:dyDescent="0.2">
      <c r="A71" s="71"/>
      <c r="B71" s="42" t="s">
        <v>235</v>
      </c>
      <c r="C71" s="40"/>
      <c r="D71" s="60"/>
      <c r="E71" s="60"/>
      <c r="F71" s="60"/>
      <c r="G71" s="67"/>
      <c r="H71" s="67">
        <f t="shared" si="2"/>
        <v>0</v>
      </c>
    </row>
    <row r="72" spans="1:8" x14ac:dyDescent="0.2">
      <c r="A72" s="71"/>
      <c r="B72" s="42" t="s">
        <v>236</v>
      </c>
      <c r="C72" s="40"/>
      <c r="D72" s="60"/>
      <c r="E72" s="60"/>
      <c r="F72" s="60"/>
      <c r="G72" s="67"/>
      <c r="H72" s="67">
        <f t="shared" si="2"/>
        <v>0</v>
      </c>
    </row>
    <row r="73" spans="1:8" x14ac:dyDescent="0.2">
      <c r="A73" s="71"/>
      <c r="B73" s="42" t="s">
        <v>237</v>
      </c>
      <c r="C73" s="40"/>
      <c r="D73" s="60"/>
      <c r="E73" s="60"/>
      <c r="F73" s="60"/>
      <c r="G73" s="67"/>
      <c r="H73" s="67">
        <f t="shared" si="2"/>
        <v>0</v>
      </c>
    </row>
    <row r="74" spans="1:8" x14ac:dyDescent="0.2">
      <c r="A74" s="71"/>
      <c r="B74" s="42" t="s">
        <v>238</v>
      </c>
      <c r="C74" s="40"/>
      <c r="D74" s="60"/>
      <c r="E74" s="60"/>
      <c r="F74" s="60"/>
      <c r="G74" s="67"/>
      <c r="H74" s="67">
        <f t="shared" si="2"/>
        <v>0</v>
      </c>
    </row>
    <row r="75" spans="1:8" x14ac:dyDescent="0.2">
      <c r="A75" s="71"/>
      <c r="B75" s="42" t="s">
        <v>160</v>
      </c>
      <c r="C75" s="40"/>
      <c r="D75" s="60"/>
      <c r="E75" s="60"/>
      <c r="F75" s="60"/>
      <c r="G75" s="67"/>
      <c r="H75" s="67">
        <f t="shared" si="2"/>
        <v>0</v>
      </c>
    </row>
    <row r="76" spans="1:8" x14ac:dyDescent="0.2">
      <c r="A76" s="71"/>
      <c r="B76" s="42" t="s">
        <v>239</v>
      </c>
      <c r="C76" s="40"/>
      <c r="D76" s="60"/>
      <c r="E76" s="60"/>
      <c r="F76" s="60"/>
      <c r="G76" s="67"/>
      <c r="H76" s="67">
        <f t="shared" si="2"/>
        <v>0</v>
      </c>
    </row>
    <row r="77" spans="1:8" x14ac:dyDescent="0.2">
      <c r="A77" s="71"/>
      <c r="B77" s="42" t="s">
        <v>26</v>
      </c>
      <c r="C77" s="40"/>
      <c r="D77" s="60"/>
      <c r="E77" s="60"/>
      <c r="F77" s="60"/>
      <c r="G77" s="67"/>
      <c r="H77" s="67">
        <f t="shared" si="2"/>
        <v>0</v>
      </c>
    </row>
    <row r="78" spans="1:8" x14ac:dyDescent="0.2">
      <c r="A78" s="71"/>
      <c r="B78" s="42" t="s">
        <v>28</v>
      </c>
      <c r="C78" s="40"/>
      <c r="D78" s="60"/>
      <c r="E78" s="60"/>
      <c r="F78" s="60"/>
      <c r="G78" s="67"/>
      <c r="H78" s="67">
        <f t="shared" si="2"/>
        <v>0</v>
      </c>
    </row>
    <row r="79" spans="1:8" x14ac:dyDescent="0.2">
      <c r="A79" s="71"/>
      <c r="B79" s="42" t="s">
        <v>316</v>
      </c>
      <c r="C79" s="44"/>
      <c r="D79" s="60"/>
      <c r="E79" s="60"/>
      <c r="F79" s="60"/>
      <c r="G79" s="67"/>
      <c r="H79" s="67">
        <f t="shared" si="2"/>
        <v>0</v>
      </c>
    </row>
    <row r="80" spans="1:8" x14ac:dyDescent="0.2">
      <c r="A80" s="71"/>
      <c r="B80" s="89" t="s">
        <v>323</v>
      </c>
      <c r="C80" s="90"/>
      <c r="D80" s="91"/>
      <c r="E80" s="91"/>
      <c r="F80" s="91"/>
      <c r="G80" s="67"/>
      <c r="H80" s="67">
        <f t="shared" si="2"/>
        <v>0</v>
      </c>
    </row>
    <row r="81" spans="1:8" x14ac:dyDescent="0.2">
      <c r="A81" s="71"/>
      <c r="B81" s="42" t="s">
        <v>314</v>
      </c>
      <c r="C81" s="40"/>
      <c r="D81" s="60"/>
      <c r="E81" s="60"/>
      <c r="F81" s="60"/>
      <c r="G81" s="67"/>
      <c r="H81" s="67">
        <f t="shared" si="2"/>
        <v>0</v>
      </c>
    </row>
    <row r="82" spans="1:8" x14ac:dyDescent="0.2">
      <c r="A82" s="71"/>
      <c r="B82" s="42" t="s">
        <v>20</v>
      </c>
      <c r="C82" s="40"/>
      <c r="D82" s="60"/>
      <c r="E82" s="60"/>
      <c r="F82" s="60"/>
      <c r="G82" s="67"/>
      <c r="H82" s="67">
        <f t="shared" si="2"/>
        <v>0</v>
      </c>
    </row>
    <row r="83" spans="1:8" x14ac:dyDescent="0.2">
      <c r="A83" s="66"/>
      <c r="B83" s="42" t="s">
        <v>312</v>
      </c>
      <c r="C83" s="40"/>
      <c r="D83" s="60"/>
      <c r="E83" s="60"/>
      <c r="F83" s="60"/>
      <c r="G83" s="67"/>
      <c r="H83" s="67">
        <f t="shared" si="2"/>
        <v>0</v>
      </c>
    </row>
    <row r="84" spans="1:8" ht="15.75" thickBot="1" x14ac:dyDescent="0.25">
      <c r="A84" s="74"/>
      <c r="B84" s="75"/>
      <c r="C84" s="75"/>
      <c r="D84" s="76"/>
      <c r="E84" s="76"/>
      <c r="F84" s="76"/>
      <c r="G84" s="77" t="s">
        <v>320</v>
      </c>
      <c r="H84" s="67" t="e">
        <f t="shared" si="2"/>
        <v>#VALUE!</v>
      </c>
    </row>
    <row r="85" spans="1:8" ht="16.5" thickBot="1" x14ac:dyDescent="0.25">
      <c r="A85" s="114" t="s">
        <v>242</v>
      </c>
      <c r="B85" s="115"/>
      <c r="C85" s="115"/>
      <c r="D85" s="115"/>
      <c r="E85" s="115"/>
      <c r="F85" s="115"/>
      <c r="G85" s="121"/>
      <c r="H85" s="116"/>
    </row>
    <row r="86" spans="1:8" x14ac:dyDescent="0.2">
      <c r="A86" s="72"/>
      <c r="B86" s="47" t="s">
        <v>331</v>
      </c>
      <c r="C86" s="47"/>
      <c r="D86" s="47"/>
      <c r="E86" s="47"/>
      <c r="F86" s="47"/>
      <c r="G86" s="65"/>
      <c r="H86" s="65">
        <f>G86*$I$9</f>
        <v>0</v>
      </c>
    </row>
    <row r="87" spans="1:8" x14ac:dyDescent="0.2">
      <c r="A87" s="71"/>
      <c r="B87" s="48" t="s">
        <v>332</v>
      </c>
      <c r="C87" s="40"/>
      <c r="D87" s="50"/>
      <c r="E87" s="50"/>
      <c r="F87" s="49"/>
      <c r="G87" s="65"/>
      <c r="H87" s="65">
        <f t="shared" ref="H87:H150" si="3">G87*$I$9</f>
        <v>0</v>
      </c>
    </row>
    <row r="88" spans="1:8" x14ac:dyDescent="0.2">
      <c r="A88" s="71"/>
      <c r="B88" s="48" t="s">
        <v>333</v>
      </c>
      <c r="C88" s="40"/>
      <c r="D88" s="50"/>
      <c r="E88" s="50"/>
      <c r="F88" s="49"/>
      <c r="G88" s="65"/>
      <c r="H88" s="65">
        <f t="shared" si="3"/>
        <v>0</v>
      </c>
    </row>
    <row r="89" spans="1:8" x14ac:dyDescent="0.2">
      <c r="A89" s="71"/>
      <c r="B89" s="48" t="s">
        <v>334</v>
      </c>
      <c r="C89" s="40"/>
      <c r="D89" s="50"/>
      <c r="E89" s="50"/>
      <c r="F89" s="49"/>
      <c r="G89" s="65"/>
      <c r="H89" s="65">
        <f t="shared" si="3"/>
        <v>0</v>
      </c>
    </row>
    <row r="90" spans="1:8" x14ac:dyDescent="0.2">
      <c r="A90" s="71"/>
      <c r="B90" s="48" t="s">
        <v>335</v>
      </c>
      <c r="C90" s="40"/>
      <c r="D90" s="50"/>
      <c r="E90" s="50"/>
      <c r="F90" s="49"/>
      <c r="G90" s="65"/>
      <c r="H90" s="65">
        <f t="shared" si="3"/>
        <v>0</v>
      </c>
    </row>
    <row r="91" spans="1:8" x14ac:dyDescent="0.2">
      <c r="A91" s="71"/>
      <c r="B91" s="48" t="s">
        <v>336</v>
      </c>
      <c r="C91" s="40"/>
      <c r="D91" s="50"/>
      <c r="E91" s="50"/>
      <c r="F91" s="49"/>
      <c r="G91" s="65"/>
      <c r="H91" s="65">
        <f t="shared" si="3"/>
        <v>0</v>
      </c>
    </row>
    <row r="92" spans="1:8" x14ac:dyDescent="0.2">
      <c r="A92" s="71"/>
      <c r="B92" s="48"/>
      <c r="C92" s="40"/>
      <c r="D92" s="50"/>
      <c r="E92" s="50"/>
      <c r="F92" s="49"/>
      <c r="G92" s="65"/>
      <c r="H92" s="65">
        <f t="shared" si="3"/>
        <v>0</v>
      </c>
    </row>
    <row r="93" spans="1:8" ht="25.5" x14ac:dyDescent="0.2">
      <c r="A93" s="71"/>
      <c r="B93" s="48" t="s">
        <v>244</v>
      </c>
      <c r="C93" s="40"/>
      <c r="D93" s="50"/>
      <c r="E93" s="50"/>
      <c r="F93" s="49"/>
      <c r="G93" s="65"/>
      <c r="H93" s="65">
        <f t="shared" si="3"/>
        <v>0</v>
      </c>
    </row>
    <row r="94" spans="1:8" ht="25.5" x14ac:dyDescent="0.2">
      <c r="A94" s="71"/>
      <c r="B94" s="48" t="s">
        <v>245</v>
      </c>
      <c r="C94" s="40"/>
      <c r="D94" s="50"/>
      <c r="E94" s="50"/>
      <c r="F94" s="49"/>
      <c r="G94" s="65"/>
      <c r="H94" s="65">
        <f t="shared" si="3"/>
        <v>0</v>
      </c>
    </row>
    <row r="95" spans="1:8" x14ac:dyDescent="0.2">
      <c r="A95" s="71"/>
      <c r="B95" s="48" t="s">
        <v>243</v>
      </c>
      <c r="C95" s="40"/>
      <c r="D95" s="50"/>
      <c r="E95" s="50"/>
      <c r="F95" s="49"/>
      <c r="G95" s="65"/>
      <c r="H95" s="65">
        <f t="shared" si="3"/>
        <v>0</v>
      </c>
    </row>
    <row r="96" spans="1:8" x14ac:dyDescent="0.2">
      <c r="A96" s="71"/>
      <c r="B96" s="48" t="s">
        <v>246</v>
      </c>
      <c r="C96" s="40"/>
      <c r="D96" s="50"/>
      <c r="E96" s="50"/>
      <c r="F96" s="49"/>
      <c r="G96" s="65"/>
      <c r="H96" s="65">
        <f t="shared" si="3"/>
        <v>0</v>
      </c>
    </row>
    <row r="97" spans="1:8" x14ac:dyDescent="0.2">
      <c r="A97" s="71"/>
      <c r="B97" s="48" t="s">
        <v>247</v>
      </c>
      <c r="C97" s="40"/>
      <c r="D97" s="50"/>
      <c r="E97" s="50"/>
      <c r="F97" s="49"/>
      <c r="G97" s="65"/>
      <c r="H97" s="65">
        <f t="shared" si="3"/>
        <v>0</v>
      </c>
    </row>
    <row r="98" spans="1:8" x14ac:dyDescent="0.2">
      <c r="A98" s="71"/>
      <c r="B98" s="48" t="s">
        <v>248</v>
      </c>
      <c r="C98" s="40"/>
      <c r="D98" s="50"/>
      <c r="E98" s="50"/>
      <c r="F98" s="49"/>
      <c r="G98" s="65"/>
      <c r="H98" s="65">
        <f t="shared" si="3"/>
        <v>0</v>
      </c>
    </row>
    <row r="99" spans="1:8" x14ac:dyDescent="0.2">
      <c r="A99" s="71"/>
      <c r="B99" s="48" t="s">
        <v>249</v>
      </c>
      <c r="C99" s="40"/>
      <c r="D99" s="50"/>
      <c r="E99" s="50"/>
      <c r="F99" s="49"/>
      <c r="G99" s="65"/>
      <c r="H99" s="65">
        <f t="shared" si="3"/>
        <v>0</v>
      </c>
    </row>
    <row r="100" spans="1:8" x14ac:dyDescent="0.2">
      <c r="A100" s="71"/>
      <c r="B100" s="48" t="s">
        <v>250</v>
      </c>
      <c r="C100" s="40"/>
      <c r="D100" s="50"/>
      <c r="E100" s="50"/>
      <c r="F100" s="49"/>
      <c r="G100" s="65"/>
      <c r="H100" s="65">
        <f t="shared" si="3"/>
        <v>0</v>
      </c>
    </row>
    <row r="101" spans="1:8" x14ac:dyDescent="0.2">
      <c r="A101" s="71"/>
      <c r="B101" s="48" t="s">
        <v>251</v>
      </c>
      <c r="C101" s="40"/>
      <c r="D101" s="50"/>
      <c r="E101" s="50"/>
      <c r="F101" s="49"/>
      <c r="G101" s="65"/>
      <c r="H101" s="65">
        <f t="shared" si="3"/>
        <v>0</v>
      </c>
    </row>
    <row r="102" spans="1:8" x14ac:dyDescent="0.2">
      <c r="A102" s="71"/>
      <c r="B102" s="48" t="s">
        <v>252</v>
      </c>
      <c r="C102" s="40"/>
      <c r="D102" s="50"/>
      <c r="E102" s="50"/>
      <c r="F102" s="49"/>
      <c r="G102" s="65"/>
      <c r="H102" s="65">
        <f t="shared" si="3"/>
        <v>0</v>
      </c>
    </row>
    <row r="103" spans="1:8" x14ac:dyDescent="0.2">
      <c r="A103" s="71"/>
      <c r="B103" s="48" t="s">
        <v>253</v>
      </c>
      <c r="C103" s="40"/>
      <c r="D103" s="50"/>
      <c r="E103" s="50"/>
      <c r="F103" s="49"/>
      <c r="G103" s="65"/>
      <c r="H103" s="65">
        <f t="shared" si="3"/>
        <v>0</v>
      </c>
    </row>
    <row r="104" spans="1:8" x14ac:dyDescent="0.2">
      <c r="A104" s="71"/>
      <c r="B104" s="48" t="s">
        <v>254</v>
      </c>
      <c r="C104" s="40"/>
      <c r="D104" s="50"/>
      <c r="E104" s="50"/>
      <c r="F104" s="49"/>
      <c r="G104" s="65"/>
      <c r="H104" s="65">
        <f t="shared" si="3"/>
        <v>0</v>
      </c>
    </row>
    <row r="105" spans="1:8" x14ac:dyDescent="0.2">
      <c r="A105" s="71"/>
      <c r="B105" s="48" t="s">
        <v>255</v>
      </c>
      <c r="C105" s="40"/>
      <c r="D105" s="50"/>
      <c r="E105" s="50"/>
      <c r="F105" s="49"/>
      <c r="G105" s="65"/>
      <c r="H105" s="65">
        <f t="shared" si="3"/>
        <v>0</v>
      </c>
    </row>
    <row r="106" spans="1:8" x14ac:dyDescent="0.2">
      <c r="A106" s="71"/>
      <c r="B106" s="48" t="s">
        <v>256</v>
      </c>
      <c r="C106" s="40"/>
      <c r="D106" s="50"/>
      <c r="E106" s="50"/>
      <c r="F106" s="49"/>
      <c r="G106" s="65"/>
      <c r="H106" s="65">
        <f t="shared" si="3"/>
        <v>0</v>
      </c>
    </row>
    <row r="107" spans="1:8" ht="25.5" x14ac:dyDescent="0.2">
      <c r="A107" s="71"/>
      <c r="B107" s="48" t="s">
        <v>257</v>
      </c>
      <c r="C107" s="40"/>
      <c r="D107" s="50"/>
      <c r="E107" s="50"/>
      <c r="F107" s="49"/>
      <c r="G107" s="65"/>
      <c r="H107" s="65">
        <f t="shared" si="3"/>
        <v>0</v>
      </c>
    </row>
    <row r="108" spans="1:8" x14ac:dyDescent="0.2">
      <c r="A108" s="71"/>
      <c r="B108" s="48" t="s">
        <v>258</v>
      </c>
      <c r="C108" s="40"/>
      <c r="D108" s="50"/>
      <c r="E108" s="50"/>
      <c r="F108" s="49"/>
      <c r="G108" s="65"/>
      <c r="H108" s="65">
        <f t="shared" si="3"/>
        <v>0</v>
      </c>
    </row>
    <row r="109" spans="1:8" x14ac:dyDescent="0.2">
      <c r="A109" s="71"/>
      <c r="B109" s="48" t="s">
        <v>259</v>
      </c>
      <c r="C109" s="40"/>
      <c r="D109" s="50"/>
      <c r="E109" s="50"/>
      <c r="F109" s="49"/>
      <c r="G109" s="65"/>
      <c r="H109" s="65">
        <f t="shared" si="3"/>
        <v>0</v>
      </c>
    </row>
    <row r="110" spans="1:8" x14ac:dyDescent="0.2">
      <c r="A110" s="71"/>
      <c r="B110" s="48" t="s">
        <v>260</v>
      </c>
      <c r="C110" s="40"/>
      <c r="D110" s="50"/>
      <c r="E110" s="50"/>
      <c r="F110" s="49"/>
      <c r="G110" s="65"/>
      <c r="H110" s="65">
        <f t="shared" si="3"/>
        <v>0</v>
      </c>
    </row>
    <row r="111" spans="1:8" x14ac:dyDescent="0.2">
      <c r="A111" s="71"/>
      <c r="B111" s="48" t="s">
        <v>261</v>
      </c>
      <c r="C111" s="40"/>
      <c r="D111" s="50"/>
      <c r="E111" s="50"/>
      <c r="F111" s="49"/>
      <c r="G111" s="65"/>
      <c r="H111" s="65">
        <f t="shared" si="3"/>
        <v>0</v>
      </c>
    </row>
    <row r="112" spans="1:8" x14ac:dyDescent="0.2">
      <c r="A112" s="71"/>
      <c r="B112" s="48" t="s">
        <v>262</v>
      </c>
      <c r="C112" s="40"/>
      <c r="D112" s="50"/>
      <c r="E112" s="50"/>
      <c r="F112" s="49"/>
      <c r="G112" s="65"/>
      <c r="H112" s="65">
        <f t="shared" si="3"/>
        <v>0</v>
      </c>
    </row>
    <row r="113" spans="1:8" x14ac:dyDescent="0.2">
      <c r="A113" s="71"/>
      <c r="B113" s="48" t="s">
        <v>302</v>
      </c>
      <c r="C113" s="40"/>
      <c r="D113" s="50"/>
      <c r="E113" s="50"/>
      <c r="F113" s="49"/>
      <c r="G113" s="65"/>
      <c r="H113" s="65">
        <f t="shared" si="3"/>
        <v>0</v>
      </c>
    </row>
    <row r="114" spans="1:8" x14ac:dyDescent="0.2">
      <c r="A114" s="71"/>
      <c r="B114" s="48" t="s">
        <v>303</v>
      </c>
      <c r="C114" s="40"/>
      <c r="D114" s="50"/>
      <c r="E114" s="50"/>
      <c r="F114" s="49"/>
      <c r="G114" s="65"/>
      <c r="H114" s="65">
        <f t="shared" si="3"/>
        <v>0</v>
      </c>
    </row>
    <row r="115" spans="1:8" x14ac:dyDescent="0.2">
      <c r="A115" s="71"/>
      <c r="B115" s="48" t="s">
        <v>304</v>
      </c>
      <c r="C115" s="40"/>
      <c r="D115" s="50"/>
      <c r="E115" s="50"/>
      <c r="F115" s="49"/>
      <c r="G115" s="65"/>
      <c r="H115" s="65">
        <f t="shared" si="3"/>
        <v>0</v>
      </c>
    </row>
    <row r="116" spans="1:8" x14ac:dyDescent="0.2">
      <c r="A116" s="71"/>
      <c r="B116" s="48" t="s">
        <v>305</v>
      </c>
      <c r="C116" s="40"/>
      <c r="D116" s="50"/>
      <c r="E116" s="50"/>
      <c r="F116" s="49"/>
      <c r="G116" s="65"/>
      <c r="H116" s="65">
        <f t="shared" si="3"/>
        <v>0</v>
      </c>
    </row>
    <row r="117" spans="1:8" x14ac:dyDescent="0.2">
      <c r="A117" s="71"/>
      <c r="B117" s="48" t="s">
        <v>306</v>
      </c>
      <c r="C117" s="40"/>
      <c r="D117" s="50"/>
      <c r="E117" s="50"/>
      <c r="F117" s="49"/>
      <c r="G117" s="65"/>
      <c r="H117" s="65">
        <f t="shared" si="3"/>
        <v>0</v>
      </c>
    </row>
    <row r="118" spans="1:8" x14ac:dyDescent="0.2">
      <c r="A118" s="71"/>
      <c r="B118" s="48" t="s">
        <v>307</v>
      </c>
      <c r="C118" s="40"/>
      <c r="D118" s="50"/>
      <c r="E118" s="50"/>
      <c r="F118" s="49"/>
      <c r="G118" s="65"/>
      <c r="H118" s="65">
        <f t="shared" si="3"/>
        <v>0</v>
      </c>
    </row>
    <row r="119" spans="1:8" x14ac:dyDescent="0.2">
      <c r="A119" s="71"/>
      <c r="B119" s="48" t="s">
        <v>255</v>
      </c>
      <c r="C119" s="40"/>
      <c r="D119" s="50"/>
      <c r="E119" s="50"/>
      <c r="F119" s="49"/>
      <c r="G119" s="65"/>
      <c r="H119" s="65">
        <f t="shared" si="3"/>
        <v>0</v>
      </c>
    </row>
    <row r="120" spans="1:8" x14ac:dyDescent="0.2">
      <c r="A120" s="71"/>
      <c r="B120" s="48" t="s">
        <v>308</v>
      </c>
      <c r="C120" s="40"/>
      <c r="D120" s="50"/>
      <c r="E120" s="50"/>
      <c r="F120" s="49"/>
      <c r="G120" s="65"/>
      <c r="H120" s="65">
        <f t="shared" si="3"/>
        <v>0</v>
      </c>
    </row>
    <row r="121" spans="1:8" ht="25.5" x14ac:dyDescent="0.2">
      <c r="A121" s="71"/>
      <c r="B121" s="48" t="s">
        <v>309</v>
      </c>
      <c r="C121" s="40"/>
      <c r="D121" s="50"/>
      <c r="E121" s="50"/>
      <c r="F121" s="49"/>
      <c r="G121" s="65"/>
      <c r="H121" s="65">
        <f t="shared" si="3"/>
        <v>0</v>
      </c>
    </row>
    <row r="122" spans="1:8" x14ac:dyDescent="0.2">
      <c r="A122" s="71"/>
      <c r="B122" s="48" t="s">
        <v>310</v>
      </c>
      <c r="C122" s="40"/>
      <c r="D122" s="50"/>
      <c r="E122" s="50"/>
      <c r="F122" s="49"/>
      <c r="G122" s="65"/>
      <c r="H122" s="65">
        <f t="shared" si="3"/>
        <v>0</v>
      </c>
    </row>
    <row r="123" spans="1:8" x14ac:dyDescent="0.2">
      <c r="A123" s="71"/>
      <c r="B123" s="48" t="s">
        <v>311</v>
      </c>
      <c r="C123" s="40"/>
      <c r="D123" s="50"/>
      <c r="E123" s="50"/>
      <c r="F123" s="49"/>
      <c r="G123" s="65"/>
      <c r="H123" s="65">
        <f t="shared" si="3"/>
        <v>0</v>
      </c>
    </row>
    <row r="124" spans="1:8" x14ac:dyDescent="0.2">
      <c r="A124" s="71"/>
      <c r="B124" s="48" t="s">
        <v>263</v>
      </c>
      <c r="C124" s="40"/>
      <c r="D124" s="50"/>
      <c r="E124" s="50"/>
      <c r="F124" s="49"/>
      <c r="G124" s="65"/>
      <c r="H124" s="65">
        <f t="shared" si="3"/>
        <v>0</v>
      </c>
    </row>
    <row r="125" spans="1:8" x14ac:dyDescent="0.2">
      <c r="A125" s="71"/>
      <c r="B125" s="48" t="s">
        <v>264</v>
      </c>
      <c r="C125" s="40"/>
      <c r="D125" s="50"/>
      <c r="E125" s="50"/>
      <c r="F125" s="49"/>
      <c r="G125" s="65"/>
      <c r="H125" s="65">
        <f t="shared" si="3"/>
        <v>0</v>
      </c>
    </row>
    <row r="126" spans="1:8" x14ac:dyDescent="0.2">
      <c r="A126" s="71"/>
      <c r="B126" s="48" t="s">
        <v>315</v>
      </c>
      <c r="C126" s="37"/>
      <c r="D126" s="50"/>
      <c r="E126" s="50"/>
      <c r="F126" s="49"/>
      <c r="G126" s="65"/>
      <c r="H126" s="65">
        <f t="shared" si="3"/>
        <v>0</v>
      </c>
    </row>
    <row r="127" spans="1:8" x14ac:dyDescent="0.2">
      <c r="A127" s="71"/>
      <c r="B127" s="48" t="s">
        <v>265</v>
      </c>
      <c r="C127" s="37"/>
      <c r="D127" s="50"/>
      <c r="E127" s="50"/>
      <c r="F127" s="49"/>
      <c r="G127" s="65"/>
      <c r="H127" s="65">
        <f t="shared" si="3"/>
        <v>0</v>
      </c>
    </row>
    <row r="128" spans="1:8" x14ac:dyDescent="0.2">
      <c r="A128" s="71"/>
      <c r="B128" s="48" t="s">
        <v>266</v>
      </c>
      <c r="C128" s="37"/>
      <c r="D128" s="50"/>
      <c r="E128" s="50"/>
      <c r="F128" s="49"/>
      <c r="G128" s="65"/>
      <c r="H128" s="65">
        <f t="shared" si="3"/>
        <v>0</v>
      </c>
    </row>
    <row r="129" spans="1:8" x14ac:dyDescent="0.2">
      <c r="A129" s="71"/>
      <c r="B129" s="48" t="s">
        <v>267</v>
      </c>
      <c r="C129" s="37"/>
      <c r="D129" s="50"/>
      <c r="E129" s="50"/>
      <c r="F129" s="49"/>
      <c r="G129" s="65"/>
      <c r="H129" s="65">
        <f t="shared" si="3"/>
        <v>0</v>
      </c>
    </row>
    <row r="130" spans="1:8" x14ac:dyDescent="0.2">
      <c r="A130" s="71"/>
      <c r="B130" s="48" t="s">
        <v>268</v>
      </c>
      <c r="C130" s="37"/>
      <c r="D130" s="50"/>
      <c r="E130" s="50"/>
      <c r="F130" s="49"/>
      <c r="G130" s="65"/>
      <c r="H130" s="65">
        <f t="shared" si="3"/>
        <v>0</v>
      </c>
    </row>
    <row r="131" spans="1:8" x14ac:dyDescent="0.2">
      <c r="A131" s="71"/>
      <c r="B131" s="48" t="s">
        <v>269</v>
      </c>
      <c r="C131" s="37"/>
      <c r="D131" s="50"/>
      <c r="E131" s="50"/>
      <c r="F131" s="49"/>
      <c r="G131" s="65"/>
      <c r="H131" s="65">
        <f t="shared" si="3"/>
        <v>0</v>
      </c>
    </row>
    <row r="132" spans="1:8" x14ac:dyDescent="0.2">
      <c r="A132" s="71"/>
      <c r="B132" s="48" t="s">
        <v>270</v>
      </c>
      <c r="C132" s="37"/>
      <c r="D132" s="50"/>
      <c r="E132" s="50"/>
      <c r="F132" s="49"/>
      <c r="G132" s="65"/>
      <c r="H132" s="65">
        <f t="shared" si="3"/>
        <v>0</v>
      </c>
    </row>
    <row r="133" spans="1:8" x14ac:dyDescent="0.2">
      <c r="A133" s="71"/>
      <c r="B133" s="48" t="s">
        <v>271</v>
      </c>
      <c r="C133" s="37"/>
      <c r="D133" s="50"/>
      <c r="E133" s="50"/>
      <c r="F133" s="49"/>
      <c r="G133" s="65"/>
      <c r="H133" s="65">
        <f t="shared" si="3"/>
        <v>0</v>
      </c>
    </row>
    <row r="134" spans="1:8" x14ac:dyDescent="0.2">
      <c r="A134" s="71"/>
      <c r="B134" s="48" t="s">
        <v>272</v>
      </c>
      <c r="C134" s="37"/>
      <c r="D134" s="50"/>
      <c r="E134" s="50"/>
      <c r="F134" s="49"/>
      <c r="G134" s="65"/>
      <c r="H134" s="65">
        <f t="shared" si="3"/>
        <v>0</v>
      </c>
    </row>
    <row r="135" spans="1:8" x14ac:dyDescent="0.2">
      <c r="A135" s="71"/>
      <c r="B135" s="48" t="s">
        <v>273</v>
      </c>
      <c r="C135" s="37"/>
      <c r="D135" s="50"/>
      <c r="E135" s="50"/>
      <c r="F135" s="49"/>
      <c r="G135" s="65"/>
      <c r="H135" s="65">
        <f t="shared" si="3"/>
        <v>0</v>
      </c>
    </row>
    <row r="136" spans="1:8" x14ac:dyDescent="0.2">
      <c r="A136" s="71"/>
      <c r="B136" s="48" t="s">
        <v>274</v>
      </c>
      <c r="C136" s="37"/>
      <c r="D136" s="50"/>
      <c r="E136" s="50"/>
      <c r="F136" s="49"/>
      <c r="G136" s="65"/>
      <c r="H136" s="65">
        <f t="shared" si="3"/>
        <v>0</v>
      </c>
    </row>
    <row r="137" spans="1:8" x14ac:dyDescent="0.2">
      <c r="A137" s="71"/>
      <c r="B137" s="48" t="s">
        <v>275</v>
      </c>
      <c r="C137" s="37"/>
      <c r="D137" s="50"/>
      <c r="E137" s="50"/>
      <c r="F137" s="49"/>
      <c r="G137" s="65"/>
      <c r="H137" s="65">
        <f t="shared" si="3"/>
        <v>0</v>
      </c>
    </row>
    <row r="138" spans="1:8" x14ac:dyDescent="0.2">
      <c r="A138" s="71"/>
      <c r="B138" s="48" t="s">
        <v>324</v>
      </c>
      <c r="C138" s="37"/>
      <c r="D138" s="50"/>
      <c r="E138" s="50"/>
      <c r="F138" s="49"/>
      <c r="G138" s="65"/>
      <c r="H138" s="65">
        <f t="shared" si="3"/>
        <v>0</v>
      </c>
    </row>
    <row r="139" spans="1:8" x14ac:dyDescent="0.2">
      <c r="A139" s="71"/>
      <c r="B139" s="48" t="s">
        <v>325</v>
      </c>
      <c r="C139" s="37"/>
      <c r="D139" s="50"/>
      <c r="E139" s="50"/>
      <c r="F139" s="49"/>
      <c r="G139" s="65"/>
      <c r="H139" s="65">
        <f t="shared" si="3"/>
        <v>0</v>
      </c>
    </row>
    <row r="140" spans="1:8" x14ac:dyDescent="0.2">
      <c r="A140" s="71"/>
      <c r="B140" s="48" t="s">
        <v>276</v>
      </c>
      <c r="C140" s="37"/>
      <c r="D140" s="50"/>
      <c r="E140" s="50"/>
      <c r="F140" s="49"/>
      <c r="G140" s="65"/>
      <c r="H140" s="65">
        <f t="shared" si="3"/>
        <v>0</v>
      </c>
    </row>
    <row r="141" spans="1:8" ht="25.5" x14ac:dyDescent="0.2">
      <c r="A141" s="71"/>
      <c r="B141" s="48" t="s">
        <v>277</v>
      </c>
      <c r="C141" s="37"/>
      <c r="D141" s="50"/>
      <c r="E141" s="50"/>
      <c r="F141" s="49"/>
      <c r="G141" s="65"/>
      <c r="H141" s="65">
        <f t="shared" si="3"/>
        <v>0</v>
      </c>
    </row>
    <row r="142" spans="1:8" x14ac:dyDescent="0.2">
      <c r="A142" s="71"/>
      <c r="B142" s="48" t="s">
        <v>278</v>
      </c>
      <c r="C142" s="37"/>
      <c r="D142" s="50"/>
      <c r="E142" s="50"/>
      <c r="F142" s="49"/>
      <c r="G142" s="65"/>
      <c r="H142" s="65">
        <f t="shared" si="3"/>
        <v>0</v>
      </c>
    </row>
    <row r="143" spans="1:8" x14ac:dyDescent="0.2">
      <c r="A143" s="71"/>
      <c r="B143" s="48" t="s">
        <v>279</v>
      </c>
      <c r="C143" s="37"/>
      <c r="D143" s="50"/>
      <c r="E143" s="50"/>
      <c r="F143" s="49"/>
      <c r="G143" s="65"/>
      <c r="H143" s="65">
        <f t="shared" si="3"/>
        <v>0</v>
      </c>
    </row>
    <row r="144" spans="1:8" x14ac:dyDescent="0.2">
      <c r="A144" s="71"/>
      <c r="B144" s="48" t="s">
        <v>280</v>
      </c>
      <c r="C144" s="37"/>
      <c r="D144" s="50"/>
      <c r="E144" s="50"/>
      <c r="F144" s="49"/>
      <c r="G144" s="65"/>
      <c r="H144" s="65">
        <f t="shared" si="3"/>
        <v>0</v>
      </c>
    </row>
    <row r="145" spans="1:8" x14ac:dyDescent="0.2">
      <c r="A145" s="71"/>
      <c r="B145" s="48" t="s">
        <v>281</v>
      </c>
      <c r="C145" s="37"/>
      <c r="D145" s="50"/>
      <c r="E145" s="50"/>
      <c r="F145" s="49"/>
      <c r="G145" s="65"/>
      <c r="H145" s="65">
        <f t="shared" si="3"/>
        <v>0</v>
      </c>
    </row>
    <row r="146" spans="1:8" x14ac:dyDescent="0.2">
      <c r="A146" s="71"/>
      <c r="B146" s="48" t="s">
        <v>282</v>
      </c>
      <c r="C146" s="37"/>
      <c r="D146" s="50"/>
      <c r="E146" s="50"/>
      <c r="F146" s="49"/>
      <c r="G146" s="65"/>
      <c r="H146" s="65">
        <f t="shared" si="3"/>
        <v>0</v>
      </c>
    </row>
    <row r="147" spans="1:8" x14ac:dyDescent="0.2">
      <c r="A147" s="71"/>
      <c r="B147" s="48" t="s">
        <v>283</v>
      </c>
      <c r="C147" s="37"/>
      <c r="D147" s="50"/>
      <c r="E147" s="50"/>
      <c r="F147" s="49"/>
      <c r="G147" s="65"/>
      <c r="H147" s="65">
        <f t="shared" si="3"/>
        <v>0</v>
      </c>
    </row>
    <row r="148" spans="1:8" x14ac:dyDescent="0.2">
      <c r="A148" s="71"/>
      <c r="B148" s="48" t="s">
        <v>284</v>
      </c>
      <c r="C148" s="37"/>
      <c r="D148" s="50"/>
      <c r="E148" s="50"/>
      <c r="F148" s="49"/>
      <c r="G148" s="65"/>
      <c r="H148" s="65">
        <f t="shared" si="3"/>
        <v>0</v>
      </c>
    </row>
    <row r="149" spans="1:8" x14ac:dyDescent="0.2">
      <c r="A149" s="71"/>
      <c r="B149" s="48" t="s">
        <v>285</v>
      </c>
      <c r="C149" s="37"/>
      <c r="D149" s="50"/>
      <c r="E149" s="50"/>
      <c r="F149" s="49"/>
      <c r="G149" s="65"/>
      <c r="H149" s="65">
        <f t="shared" si="3"/>
        <v>0</v>
      </c>
    </row>
    <row r="150" spans="1:8" x14ac:dyDescent="0.2">
      <c r="A150" s="71"/>
      <c r="B150" s="48" t="s">
        <v>286</v>
      </c>
      <c r="C150" s="37"/>
      <c r="D150" s="50"/>
      <c r="E150" s="50"/>
      <c r="F150" s="49"/>
      <c r="G150" s="65"/>
      <c r="H150" s="65">
        <f t="shared" si="3"/>
        <v>0</v>
      </c>
    </row>
    <row r="151" spans="1:8" x14ac:dyDescent="0.2">
      <c r="A151" s="71"/>
      <c r="B151" s="48" t="s">
        <v>287</v>
      </c>
      <c r="C151" s="37"/>
      <c r="D151" s="50"/>
      <c r="E151" s="50"/>
      <c r="F151" s="49"/>
      <c r="G151" s="65"/>
      <c r="H151" s="65">
        <f t="shared" ref="H151:H165" si="4">G151*$I$9</f>
        <v>0</v>
      </c>
    </row>
    <row r="152" spans="1:8" x14ac:dyDescent="0.2">
      <c r="A152" s="71"/>
      <c r="B152" s="48" t="s">
        <v>288</v>
      </c>
      <c r="C152" s="37"/>
      <c r="D152" s="50"/>
      <c r="E152" s="50"/>
      <c r="F152" s="49"/>
      <c r="G152" s="65"/>
      <c r="H152" s="65">
        <f t="shared" si="4"/>
        <v>0</v>
      </c>
    </row>
    <row r="153" spans="1:8" x14ac:dyDescent="0.2">
      <c r="A153" s="71"/>
      <c r="B153" s="48" t="s">
        <v>289</v>
      </c>
      <c r="C153" s="37"/>
      <c r="D153" s="50"/>
      <c r="E153" s="50"/>
      <c r="F153" s="49"/>
      <c r="G153" s="65"/>
      <c r="H153" s="65">
        <f t="shared" si="4"/>
        <v>0</v>
      </c>
    </row>
    <row r="154" spans="1:8" x14ac:dyDescent="0.2">
      <c r="A154" s="71"/>
      <c r="B154" s="48" t="s">
        <v>290</v>
      </c>
      <c r="C154" s="37"/>
      <c r="D154" s="50"/>
      <c r="E154" s="50"/>
      <c r="F154" s="49"/>
      <c r="G154" s="65"/>
      <c r="H154" s="65">
        <f t="shared" si="4"/>
        <v>0</v>
      </c>
    </row>
    <row r="155" spans="1:8" x14ac:dyDescent="0.2">
      <c r="A155" s="71"/>
      <c r="B155" s="48" t="s">
        <v>291</v>
      </c>
      <c r="C155" s="37"/>
      <c r="D155" s="50"/>
      <c r="E155" s="50"/>
      <c r="F155" s="49"/>
      <c r="G155" s="65"/>
      <c r="H155" s="65">
        <f t="shared" si="4"/>
        <v>0</v>
      </c>
    </row>
    <row r="156" spans="1:8" x14ac:dyDescent="0.2">
      <c r="A156" s="71"/>
      <c r="B156" s="48" t="s">
        <v>292</v>
      </c>
      <c r="C156" s="37"/>
      <c r="D156" s="50"/>
      <c r="E156" s="50"/>
      <c r="F156" s="49"/>
      <c r="G156" s="65"/>
      <c r="H156" s="65">
        <f t="shared" si="4"/>
        <v>0</v>
      </c>
    </row>
    <row r="157" spans="1:8" x14ac:dyDescent="0.2">
      <c r="A157" s="71"/>
      <c r="B157" s="48" t="s">
        <v>293</v>
      </c>
      <c r="C157" s="37"/>
      <c r="D157" s="50"/>
      <c r="E157" s="50"/>
      <c r="F157" s="49"/>
      <c r="G157" s="65"/>
      <c r="H157" s="65">
        <f t="shared" si="4"/>
        <v>0</v>
      </c>
    </row>
    <row r="158" spans="1:8" x14ac:dyDescent="0.2">
      <c r="A158" s="71"/>
      <c r="B158" s="48" t="s">
        <v>294</v>
      </c>
      <c r="C158" s="37"/>
      <c r="D158" s="50"/>
      <c r="E158" s="50"/>
      <c r="F158" s="49"/>
      <c r="G158" s="65"/>
      <c r="H158" s="65">
        <f t="shared" si="4"/>
        <v>0</v>
      </c>
    </row>
    <row r="159" spans="1:8" x14ac:dyDescent="0.2">
      <c r="A159" s="71"/>
      <c r="B159" s="48" t="s">
        <v>295</v>
      </c>
      <c r="C159" s="37"/>
      <c r="D159" s="50"/>
      <c r="E159" s="50"/>
      <c r="F159" s="49"/>
      <c r="G159" s="65"/>
      <c r="H159" s="65">
        <f t="shared" si="4"/>
        <v>0</v>
      </c>
    </row>
    <row r="160" spans="1:8" x14ac:dyDescent="0.2">
      <c r="A160" s="71"/>
      <c r="B160" s="48" t="s">
        <v>296</v>
      </c>
      <c r="C160" s="37"/>
      <c r="D160" s="50"/>
      <c r="E160" s="50"/>
      <c r="F160" s="49"/>
      <c r="G160" s="65"/>
      <c r="H160" s="65">
        <f t="shared" si="4"/>
        <v>0</v>
      </c>
    </row>
    <row r="161" spans="1:8" x14ac:dyDescent="0.2">
      <c r="A161" s="71"/>
      <c r="B161" s="48" t="s">
        <v>297</v>
      </c>
      <c r="C161" s="37"/>
      <c r="D161" s="50"/>
      <c r="E161" s="50"/>
      <c r="F161" s="49"/>
      <c r="G161" s="65"/>
      <c r="H161" s="65">
        <f t="shared" si="4"/>
        <v>0</v>
      </c>
    </row>
    <row r="162" spans="1:8" x14ac:dyDescent="0.2">
      <c r="A162" s="71"/>
      <c r="B162" s="48" t="s">
        <v>298</v>
      </c>
      <c r="C162" s="37"/>
      <c r="D162" s="50"/>
      <c r="E162" s="50"/>
      <c r="F162" s="49"/>
      <c r="G162" s="65"/>
      <c r="H162" s="65">
        <f t="shared" si="4"/>
        <v>0</v>
      </c>
    </row>
    <row r="163" spans="1:8" x14ac:dyDescent="0.2">
      <c r="A163" s="71"/>
      <c r="B163" s="48" t="s">
        <v>299</v>
      </c>
      <c r="C163" s="37"/>
      <c r="D163" s="50"/>
      <c r="E163" s="50"/>
      <c r="F163" s="49"/>
      <c r="G163" s="65"/>
      <c r="H163" s="65">
        <f t="shared" si="4"/>
        <v>0</v>
      </c>
    </row>
    <row r="164" spans="1:8" x14ac:dyDescent="0.2">
      <c r="A164" s="71"/>
      <c r="B164" s="48" t="s">
        <v>300</v>
      </c>
      <c r="C164" s="37"/>
      <c r="D164" s="50"/>
      <c r="E164" s="50"/>
      <c r="F164" s="49"/>
      <c r="G164" s="65"/>
      <c r="H164" s="65">
        <f t="shared" si="4"/>
        <v>0</v>
      </c>
    </row>
    <row r="165" spans="1:8" x14ac:dyDescent="0.2">
      <c r="A165" s="71"/>
      <c r="B165" s="82" t="s">
        <v>301</v>
      </c>
      <c r="C165" s="40"/>
      <c r="D165" s="50"/>
      <c r="E165" s="50"/>
      <c r="F165" s="49"/>
      <c r="G165" s="65"/>
      <c r="H165" s="65">
        <f t="shared" si="4"/>
        <v>0</v>
      </c>
    </row>
    <row r="166" spans="1:8" ht="15.75" customHeight="1" thickBot="1" x14ac:dyDescent="0.25">
      <c r="A166" s="109"/>
      <c r="B166" s="110"/>
      <c r="C166" s="110"/>
      <c r="D166" s="110"/>
      <c r="E166" s="110"/>
      <c r="F166" s="111"/>
      <c r="G166" s="77" t="s">
        <v>320</v>
      </c>
      <c r="H166" s="78">
        <f>SUM(H86:H165)</f>
        <v>0</v>
      </c>
    </row>
    <row r="167" spans="1:8" x14ac:dyDescent="0.2">
      <c r="A167" s="51"/>
      <c r="G167" s="53"/>
      <c r="H167" s="54"/>
    </row>
    <row r="168" spans="1:8" x14ac:dyDescent="0.2">
      <c r="A168" s="51"/>
      <c r="G168" s="53"/>
      <c r="H168" s="54"/>
    </row>
    <row r="169" spans="1:8" x14ac:dyDescent="0.2">
      <c r="A169" s="51"/>
      <c r="G169" s="53"/>
      <c r="H169" s="54"/>
    </row>
    <row r="170" spans="1:8" x14ac:dyDescent="0.2">
      <c r="A170" s="51"/>
      <c r="G170" s="53"/>
      <c r="H170" s="54"/>
    </row>
    <row r="171" spans="1:8" x14ac:dyDescent="0.2">
      <c r="A171" s="51"/>
      <c r="G171" s="53"/>
      <c r="H171" s="54"/>
    </row>
    <row r="172" spans="1:8" x14ac:dyDescent="0.2">
      <c r="A172" s="51"/>
      <c r="G172" s="53"/>
      <c r="H172" s="54"/>
    </row>
    <row r="173" spans="1:8" x14ac:dyDescent="0.2">
      <c r="A173" s="51"/>
      <c r="G173" s="53"/>
      <c r="H173" s="54"/>
    </row>
    <row r="174" spans="1:8" x14ac:dyDescent="0.2">
      <c r="A174" s="51"/>
      <c r="G174" s="53"/>
      <c r="H174" s="54"/>
    </row>
    <row r="175" spans="1:8" x14ac:dyDescent="0.2">
      <c r="A175" s="51"/>
      <c r="G175" s="53"/>
      <c r="H175" s="54"/>
    </row>
    <row r="176" spans="1:8" x14ac:dyDescent="0.2">
      <c r="A176" s="51"/>
      <c r="G176" s="53"/>
      <c r="H176" s="54"/>
    </row>
    <row r="177" spans="1:8" x14ac:dyDescent="0.2">
      <c r="A177" s="51"/>
      <c r="G177" s="53"/>
      <c r="H177" s="54"/>
    </row>
    <row r="178" spans="1:8" x14ac:dyDescent="0.2">
      <c r="A178" s="51"/>
      <c r="G178" s="53"/>
      <c r="H178" s="54"/>
    </row>
    <row r="179" spans="1:8" x14ac:dyDescent="0.2">
      <c r="A179" s="51"/>
      <c r="G179" s="53"/>
      <c r="H179" s="54"/>
    </row>
    <row r="180" spans="1:8" x14ac:dyDescent="0.2">
      <c r="A180" s="51"/>
      <c r="G180" s="53"/>
      <c r="H180" s="54"/>
    </row>
    <row r="181" spans="1:8" x14ac:dyDescent="0.2">
      <c r="A181" s="51"/>
      <c r="G181" s="53"/>
      <c r="H181" s="54"/>
    </row>
    <row r="182" spans="1:8" x14ac:dyDescent="0.2">
      <c r="A182" s="51"/>
      <c r="G182" s="53"/>
      <c r="H182" s="54"/>
    </row>
    <row r="183" spans="1:8" x14ac:dyDescent="0.2">
      <c r="A183" s="51"/>
      <c r="G183" s="53"/>
      <c r="H183" s="54"/>
    </row>
    <row r="184" spans="1:8" x14ac:dyDescent="0.2">
      <c r="A184" s="51"/>
      <c r="G184" s="53"/>
      <c r="H184" s="54"/>
    </row>
    <row r="185" spans="1:8" x14ac:dyDescent="0.2">
      <c r="A185" s="51"/>
      <c r="G185" s="53"/>
      <c r="H185" s="54"/>
    </row>
    <row r="186" spans="1:8" x14ac:dyDescent="0.2">
      <c r="A186" s="51"/>
      <c r="G186" s="53"/>
      <c r="H186" s="54"/>
    </row>
    <row r="187" spans="1:8" x14ac:dyDescent="0.2">
      <c r="A187" s="51"/>
      <c r="G187" s="53"/>
      <c r="H187" s="54"/>
    </row>
    <row r="188" spans="1:8" x14ac:dyDescent="0.2">
      <c r="A188" s="51"/>
      <c r="G188" s="53"/>
      <c r="H188" s="54"/>
    </row>
    <row r="189" spans="1:8" x14ac:dyDescent="0.2">
      <c r="A189" s="51"/>
      <c r="G189" s="53"/>
      <c r="H189" s="54"/>
    </row>
    <row r="190" spans="1:8" x14ac:dyDescent="0.2">
      <c r="A190" s="51"/>
      <c r="G190" s="53"/>
      <c r="H190" s="54"/>
    </row>
    <row r="191" spans="1:8" x14ac:dyDescent="0.2">
      <c r="A191" s="51"/>
      <c r="G191" s="53"/>
      <c r="H191" s="54"/>
    </row>
    <row r="192" spans="1:8" x14ac:dyDescent="0.2">
      <c r="A192" s="51"/>
      <c r="G192" s="53"/>
      <c r="H192" s="54"/>
    </row>
    <row r="193" spans="1:8" x14ac:dyDescent="0.2">
      <c r="A193" s="51"/>
      <c r="G193" s="53"/>
      <c r="H193" s="54"/>
    </row>
    <row r="194" spans="1:8" x14ac:dyDescent="0.2">
      <c r="A194" s="51"/>
      <c r="G194" s="53"/>
      <c r="H194" s="54"/>
    </row>
    <row r="195" spans="1:8" x14ac:dyDescent="0.2">
      <c r="A195" s="51"/>
      <c r="G195" s="53"/>
      <c r="H195" s="54"/>
    </row>
    <row r="196" spans="1:8" x14ac:dyDescent="0.2">
      <c r="A196" s="51"/>
      <c r="G196" s="53"/>
      <c r="H196" s="54"/>
    </row>
    <row r="197" spans="1:8" x14ac:dyDescent="0.2">
      <c r="A197" s="51"/>
      <c r="G197" s="53"/>
      <c r="H197" s="54"/>
    </row>
    <row r="198" spans="1:8" x14ac:dyDescent="0.2">
      <c r="A198" s="51"/>
      <c r="G198" s="53"/>
      <c r="H198" s="54"/>
    </row>
    <row r="199" spans="1:8" x14ac:dyDescent="0.2">
      <c r="A199" s="51"/>
      <c r="G199" s="53"/>
      <c r="H199" s="54"/>
    </row>
    <row r="200" spans="1:8" x14ac:dyDescent="0.2">
      <c r="A200" s="51"/>
      <c r="G200" s="53"/>
      <c r="H200" s="54"/>
    </row>
    <row r="201" spans="1:8" x14ac:dyDescent="0.2">
      <c r="A201" s="51"/>
      <c r="G201" s="53"/>
      <c r="H201" s="54"/>
    </row>
    <row r="202" spans="1:8" x14ac:dyDescent="0.2">
      <c r="A202" s="51"/>
      <c r="G202" s="53"/>
      <c r="H202" s="54"/>
    </row>
    <row r="203" spans="1:8" x14ac:dyDescent="0.2">
      <c r="A203" s="51"/>
      <c r="G203" s="53"/>
      <c r="H203" s="54"/>
    </row>
    <row r="204" spans="1:8" x14ac:dyDescent="0.2">
      <c r="A204" s="51"/>
      <c r="G204" s="53"/>
      <c r="H204" s="54"/>
    </row>
    <row r="205" spans="1:8" x14ac:dyDescent="0.2">
      <c r="A205" s="51"/>
      <c r="G205" s="53"/>
      <c r="H205" s="54"/>
    </row>
    <row r="206" spans="1:8" x14ac:dyDescent="0.2">
      <c r="A206" s="51"/>
      <c r="G206" s="53"/>
      <c r="H206" s="54"/>
    </row>
    <row r="207" spans="1:8" x14ac:dyDescent="0.2">
      <c r="A207" s="51"/>
      <c r="G207" s="53"/>
      <c r="H207" s="54"/>
    </row>
    <row r="208" spans="1:8" x14ac:dyDescent="0.2">
      <c r="A208" s="51"/>
      <c r="G208" s="53"/>
      <c r="H208" s="54"/>
    </row>
    <row r="209" spans="1:8" x14ac:dyDescent="0.2">
      <c r="A209" s="51"/>
      <c r="G209" s="53"/>
      <c r="H209" s="54"/>
    </row>
    <row r="210" spans="1:8" x14ac:dyDescent="0.2">
      <c r="A210" s="51"/>
      <c r="G210" s="53"/>
      <c r="H210" s="54"/>
    </row>
    <row r="211" spans="1:8" x14ac:dyDescent="0.2">
      <c r="A211" s="51"/>
      <c r="G211" s="53"/>
      <c r="H211" s="54"/>
    </row>
    <row r="212" spans="1:8" x14ac:dyDescent="0.2">
      <c r="A212" s="51"/>
      <c r="G212" s="53"/>
      <c r="H212" s="54"/>
    </row>
    <row r="213" spans="1:8" x14ac:dyDescent="0.2">
      <c r="A213" s="51"/>
      <c r="G213" s="53"/>
      <c r="H213" s="54"/>
    </row>
    <row r="214" spans="1:8" x14ac:dyDescent="0.2">
      <c r="A214" s="51"/>
      <c r="G214" s="53"/>
      <c r="H214" s="54"/>
    </row>
    <row r="215" spans="1:8" x14ac:dyDescent="0.2">
      <c r="A215" s="51"/>
      <c r="G215" s="53"/>
      <c r="H215" s="54"/>
    </row>
    <row r="216" spans="1:8" x14ac:dyDescent="0.2">
      <c r="A216" s="51"/>
      <c r="G216" s="53"/>
      <c r="H216" s="54"/>
    </row>
    <row r="217" spans="1:8" x14ac:dyDescent="0.2">
      <c r="A217" s="51"/>
      <c r="G217" s="53"/>
      <c r="H217" s="54"/>
    </row>
    <row r="218" spans="1:8" x14ac:dyDescent="0.2">
      <c r="A218" s="51"/>
      <c r="G218" s="53"/>
      <c r="H218" s="54"/>
    </row>
    <row r="219" spans="1:8" x14ac:dyDescent="0.2">
      <c r="A219" s="51"/>
      <c r="G219" s="53"/>
      <c r="H219" s="54"/>
    </row>
    <row r="220" spans="1:8" x14ac:dyDescent="0.2">
      <c r="A220" s="51"/>
      <c r="G220" s="53"/>
      <c r="H220" s="54"/>
    </row>
    <row r="221" spans="1:8" x14ac:dyDescent="0.2">
      <c r="A221" s="51"/>
      <c r="G221" s="53"/>
      <c r="H221" s="54"/>
    </row>
    <row r="222" spans="1:8" x14ac:dyDescent="0.2">
      <c r="A222" s="51"/>
      <c r="G222" s="53"/>
      <c r="H222" s="54"/>
    </row>
    <row r="223" spans="1:8" x14ac:dyDescent="0.2">
      <c r="A223" s="51"/>
      <c r="G223" s="53"/>
      <c r="H223" s="54"/>
    </row>
    <row r="224" spans="1:8" x14ac:dyDescent="0.2">
      <c r="A224" s="51"/>
      <c r="G224" s="53"/>
      <c r="H224" s="54"/>
    </row>
    <row r="225" spans="1:8" x14ac:dyDescent="0.2">
      <c r="A225" s="51"/>
      <c r="G225" s="53"/>
      <c r="H225" s="54"/>
    </row>
    <row r="226" spans="1:8" x14ac:dyDescent="0.2">
      <c r="A226" s="51"/>
      <c r="G226" s="53"/>
      <c r="H226" s="54"/>
    </row>
    <row r="227" spans="1:8" x14ac:dyDescent="0.2">
      <c r="A227" s="51"/>
      <c r="G227" s="53"/>
      <c r="H227" s="54"/>
    </row>
    <row r="228" spans="1:8" x14ac:dyDescent="0.2">
      <c r="A228" s="51"/>
      <c r="G228" s="53"/>
      <c r="H228" s="54"/>
    </row>
    <row r="229" spans="1:8" x14ac:dyDescent="0.2">
      <c r="A229" s="51"/>
      <c r="G229" s="53"/>
      <c r="H229" s="54"/>
    </row>
    <row r="230" spans="1:8" x14ac:dyDescent="0.2">
      <c r="A230" s="51"/>
      <c r="G230" s="53"/>
      <c r="H230" s="54"/>
    </row>
    <row r="231" spans="1:8" x14ac:dyDescent="0.2">
      <c r="A231" s="51"/>
      <c r="G231" s="53"/>
      <c r="H231" s="54"/>
    </row>
    <row r="232" spans="1:8" x14ac:dyDescent="0.2">
      <c r="A232" s="51"/>
      <c r="G232" s="53"/>
      <c r="H232" s="54"/>
    </row>
    <row r="233" spans="1:8" x14ac:dyDescent="0.2">
      <c r="A233" s="51"/>
      <c r="G233" s="53"/>
      <c r="H233" s="54"/>
    </row>
    <row r="234" spans="1:8" x14ac:dyDescent="0.2">
      <c r="A234" s="51"/>
      <c r="G234" s="53"/>
      <c r="H234" s="54"/>
    </row>
    <row r="235" spans="1:8" x14ac:dyDescent="0.2">
      <c r="A235" s="51"/>
      <c r="G235" s="53"/>
      <c r="H235" s="54"/>
    </row>
    <row r="236" spans="1:8" x14ac:dyDescent="0.2">
      <c r="A236" s="51"/>
      <c r="G236" s="53"/>
      <c r="H236" s="54"/>
    </row>
    <row r="237" spans="1:8" x14ac:dyDescent="0.2">
      <c r="A237" s="51"/>
      <c r="G237" s="53"/>
      <c r="H237" s="54"/>
    </row>
    <row r="238" spans="1:8" x14ac:dyDescent="0.2">
      <c r="A238" s="51"/>
      <c r="G238" s="53"/>
      <c r="H238" s="54"/>
    </row>
    <row r="239" spans="1:8" x14ac:dyDescent="0.2">
      <c r="A239" s="51"/>
      <c r="G239" s="53"/>
      <c r="H239" s="54"/>
    </row>
    <row r="240" spans="1:8" x14ac:dyDescent="0.2">
      <c r="A240" s="51"/>
      <c r="G240" s="53"/>
      <c r="H240" s="54"/>
    </row>
    <row r="241" spans="1:8" x14ac:dyDescent="0.2">
      <c r="A241" s="51"/>
      <c r="G241" s="53"/>
      <c r="H241" s="54"/>
    </row>
    <row r="242" spans="1:8" x14ac:dyDescent="0.2">
      <c r="A242" s="51"/>
      <c r="G242" s="53"/>
      <c r="H242" s="54"/>
    </row>
    <row r="243" spans="1:8" x14ac:dyDescent="0.2">
      <c r="A243" s="51"/>
      <c r="G243" s="53"/>
      <c r="H243" s="54"/>
    </row>
    <row r="244" spans="1:8" x14ac:dyDescent="0.2">
      <c r="A244" s="51"/>
      <c r="G244" s="53"/>
      <c r="H244" s="54"/>
    </row>
    <row r="245" spans="1:8" x14ac:dyDescent="0.2">
      <c r="A245" s="51"/>
      <c r="G245" s="53"/>
      <c r="H245" s="54"/>
    </row>
    <row r="246" spans="1:8" x14ac:dyDescent="0.2">
      <c r="A246" s="51"/>
      <c r="G246" s="53"/>
      <c r="H246" s="54"/>
    </row>
    <row r="247" spans="1:8" x14ac:dyDescent="0.2">
      <c r="A247" s="51"/>
      <c r="G247" s="53"/>
      <c r="H247" s="54"/>
    </row>
    <row r="248" spans="1:8" x14ac:dyDescent="0.2">
      <c r="A248" s="51"/>
      <c r="G248" s="53"/>
      <c r="H248" s="54"/>
    </row>
    <row r="249" spans="1:8" x14ac:dyDescent="0.2">
      <c r="A249" s="51"/>
      <c r="G249" s="53"/>
      <c r="H249" s="54"/>
    </row>
    <row r="250" spans="1:8" x14ac:dyDescent="0.2">
      <c r="A250" s="51"/>
      <c r="G250" s="53"/>
      <c r="H250" s="54"/>
    </row>
    <row r="251" spans="1:8" x14ac:dyDescent="0.2">
      <c r="A251" s="51"/>
      <c r="G251" s="53"/>
      <c r="H251" s="54"/>
    </row>
    <row r="252" spans="1:8" x14ac:dyDescent="0.2">
      <c r="A252" s="51"/>
      <c r="G252" s="53"/>
      <c r="H252" s="54"/>
    </row>
    <row r="253" spans="1:8" x14ac:dyDescent="0.2">
      <c r="A253" s="51"/>
      <c r="G253" s="53"/>
      <c r="H253" s="54"/>
    </row>
    <row r="254" spans="1:8" x14ac:dyDescent="0.2">
      <c r="A254" s="51"/>
      <c r="G254" s="53"/>
      <c r="H254" s="54"/>
    </row>
    <row r="255" spans="1:8" x14ac:dyDescent="0.2">
      <c r="A255" s="51"/>
      <c r="G255" s="53"/>
      <c r="H255" s="54"/>
    </row>
    <row r="256" spans="1:8" x14ac:dyDescent="0.2">
      <c r="A256" s="51"/>
      <c r="G256" s="53"/>
      <c r="H256" s="54"/>
    </row>
    <row r="257" spans="1:8" x14ac:dyDescent="0.2">
      <c r="A257" s="51"/>
      <c r="G257" s="53"/>
      <c r="H257" s="54"/>
    </row>
    <row r="258" spans="1:8" x14ac:dyDescent="0.2">
      <c r="A258" s="51"/>
      <c r="G258" s="53"/>
      <c r="H258" s="54"/>
    </row>
    <row r="259" spans="1:8" x14ac:dyDescent="0.2">
      <c r="A259" s="51"/>
      <c r="G259" s="53"/>
      <c r="H259" s="54"/>
    </row>
    <row r="260" spans="1:8" x14ac:dyDescent="0.2">
      <c r="A260" s="51"/>
      <c r="G260" s="53"/>
      <c r="H260" s="54"/>
    </row>
    <row r="261" spans="1:8" x14ac:dyDescent="0.2">
      <c r="A261" s="51"/>
      <c r="G261" s="53"/>
      <c r="H261" s="54"/>
    </row>
    <row r="262" spans="1:8" x14ac:dyDescent="0.2">
      <c r="A262" s="51"/>
      <c r="G262" s="53"/>
      <c r="H262" s="54"/>
    </row>
    <row r="263" spans="1:8" x14ac:dyDescent="0.2">
      <c r="A263" s="51"/>
      <c r="G263" s="53"/>
      <c r="H263" s="54"/>
    </row>
    <row r="264" spans="1:8" x14ac:dyDescent="0.2">
      <c r="A264" s="51"/>
      <c r="G264" s="53"/>
      <c r="H264" s="54"/>
    </row>
    <row r="265" spans="1:8" x14ac:dyDescent="0.2">
      <c r="A265" s="51"/>
      <c r="G265" s="53"/>
      <c r="H265" s="54"/>
    </row>
    <row r="266" spans="1:8" x14ac:dyDescent="0.2">
      <c r="A266" s="51"/>
      <c r="G266" s="53"/>
      <c r="H266" s="54"/>
    </row>
    <row r="267" spans="1:8" x14ac:dyDescent="0.2">
      <c r="A267" s="51"/>
      <c r="G267" s="53"/>
      <c r="H267" s="54"/>
    </row>
    <row r="268" spans="1:8" x14ac:dyDescent="0.2">
      <c r="A268" s="51"/>
      <c r="G268" s="53"/>
      <c r="H268" s="54"/>
    </row>
    <row r="269" spans="1:8" x14ac:dyDescent="0.2">
      <c r="A269" s="51"/>
      <c r="G269" s="53"/>
      <c r="H269" s="54"/>
    </row>
    <row r="270" spans="1:8" x14ac:dyDescent="0.2">
      <c r="A270" s="51"/>
      <c r="G270" s="53"/>
      <c r="H270" s="54"/>
    </row>
    <row r="271" spans="1:8" x14ac:dyDescent="0.2">
      <c r="A271" s="51"/>
      <c r="G271" s="53"/>
      <c r="H271" s="54"/>
    </row>
    <row r="272" spans="1:8" x14ac:dyDescent="0.2">
      <c r="A272" s="51"/>
      <c r="G272" s="53"/>
      <c r="H272" s="54"/>
    </row>
    <row r="273" spans="1:8" x14ac:dyDescent="0.2">
      <c r="A273" s="51"/>
      <c r="G273" s="53"/>
      <c r="H273" s="54"/>
    </row>
    <row r="274" spans="1:8" x14ac:dyDescent="0.2">
      <c r="A274" s="51"/>
      <c r="G274" s="53"/>
      <c r="H274" s="54"/>
    </row>
    <row r="275" spans="1:8" x14ac:dyDescent="0.2">
      <c r="A275" s="51"/>
      <c r="G275" s="53"/>
      <c r="H275" s="54"/>
    </row>
    <row r="276" spans="1:8" x14ac:dyDescent="0.2">
      <c r="A276" s="51"/>
      <c r="G276" s="53"/>
      <c r="H276" s="54"/>
    </row>
    <row r="277" spans="1:8" x14ac:dyDescent="0.2">
      <c r="A277" s="51"/>
      <c r="G277" s="53"/>
      <c r="H277" s="54"/>
    </row>
    <row r="278" spans="1:8" x14ac:dyDescent="0.2">
      <c r="A278" s="51"/>
      <c r="G278" s="53"/>
      <c r="H278" s="54"/>
    </row>
    <row r="279" spans="1:8" x14ac:dyDescent="0.2">
      <c r="A279" s="51"/>
      <c r="G279" s="53"/>
      <c r="H279" s="54"/>
    </row>
    <row r="280" spans="1:8" x14ac:dyDescent="0.2">
      <c r="A280" s="51"/>
      <c r="G280" s="53"/>
      <c r="H280" s="54"/>
    </row>
    <row r="281" spans="1:8" x14ac:dyDescent="0.2">
      <c r="A281" s="51"/>
      <c r="G281" s="53"/>
      <c r="H281" s="54"/>
    </row>
    <row r="282" spans="1:8" x14ac:dyDescent="0.2">
      <c r="A282" s="51"/>
      <c r="G282" s="53"/>
      <c r="H282" s="54"/>
    </row>
    <row r="283" spans="1:8" x14ac:dyDescent="0.2">
      <c r="A283" s="51"/>
      <c r="G283" s="53"/>
      <c r="H283" s="54"/>
    </row>
    <row r="284" spans="1:8" x14ac:dyDescent="0.2">
      <c r="A284" s="51"/>
      <c r="G284" s="53"/>
      <c r="H284" s="54"/>
    </row>
    <row r="285" spans="1:8" x14ac:dyDescent="0.2">
      <c r="A285" s="51"/>
      <c r="G285" s="53"/>
      <c r="H285" s="54"/>
    </row>
    <row r="286" spans="1:8" x14ac:dyDescent="0.2">
      <c r="A286" s="51"/>
      <c r="G286" s="53"/>
      <c r="H286" s="54"/>
    </row>
    <row r="287" spans="1:8" x14ac:dyDescent="0.2">
      <c r="A287" s="51"/>
      <c r="G287" s="53"/>
      <c r="H287" s="54"/>
    </row>
    <row r="288" spans="1:8" x14ac:dyDescent="0.2">
      <c r="A288" s="51"/>
      <c r="G288" s="53"/>
      <c r="H288" s="54"/>
    </row>
    <row r="289" spans="1:8" x14ac:dyDescent="0.2">
      <c r="A289" s="51"/>
      <c r="G289" s="53"/>
      <c r="H289" s="54"/>
    </row>
    <row r="290" spans="1:8" x14ac:dyDescent="0.2">
      <c r="A290" s="51"/>
      <c r="G290" s="53"/>
      <c r="H290" s="54"/>
    </row>
    <row r="291" spans="1:8" x14ac:dyDescent="0.2">
      <c r="A291" s="51"/>
      <c r="G291" s="53"/>
      <c r="H291" s="54"/>
    </row>
    <row r="292" spans="1:8" x14ac:dyDescent="0.2">
      <c r="A292" s="51"/>
      <c r="G292" s="53"/>
      <c r="H292" s="54"/>
    </row>
    <row r="293" spans="1:8" x14ac:dyDescent="0.2">
      <c r="A293" s="51"/>
      <c r="G293" s="53"/>
      <c r="H293" s="54"/>
    </row>
    <row r="294" spans="1:8" x14ac:dyDescent="0.2">
      <c r="A294" s="51"/>
      <c r="G294" s="53"/>
      <c r="H294" s="54"/>
    </row>
    <row r="295" spans="1:8" x14ac:dyDescent="0.2">
      <c r="A295" s="51"/>
      <c r="G295" s="53"/>
      <c r="H295" s="54"/>
    </row>
    <row r="296" spans="1:8" x14ac:dyDescent="0.2">
      <c r="A296" s="51"/>
      <c r="G296" s="53"/>
      <c r="H296" s="54"/>
    </row>
    <row r="297" spans="1:8" x14ac:dyDescent="0.2">
      <c r="A297" s="51"/>
      <c r="G297" s="53"/>
      <c r="H297" s="54"/>
    </row>
    <row r="298" spans="1:8" x14ac:dyDescent="0.2">
      <c r="A298" s="51"/>
      <c r="G298" s="53"/>
      <c r="H298" s="54"/>
    </row>
    <row r="299" spans="1:8" x14ac:dyDescent="0.2">
      <c r="A299" s="51"/>
      <c r="G299" s="53"/>
      <c r="H299" s="54"/>
    </row>
    <row r="300" spans="1:8" x14ac:dyDescent="0.2">
      <c r="A300" s="51"/>
      <c r="G300" s="53"/>
      <c r="H300" s="54"/>
    </row>
    <row r="301" spans="1:8" x14ac:dyDescent="0.2">
      <c r="A301" s="51"/>
      <c r="G301" s="53"/>
      <c r="H301" s="54"/>
    </row>
    <row r="302" spans="1:8" x14ac:dyDescent="0.2">
      <c r="A302" s="51"/>
      <c r="G302" s="53"/>
      <c r="H302" s="54"/>
    </row>
    <row r="303" spans="1:8" x14ac:dyDescent="0.2">
      <c r="A303" s="51"/>
      <c r="G303" s="53"/>
      <c r="H303" s="54"/>
    </row>
    <row r="304" spans="1:8" x14ac:dyDescent="0.2">
      <c r="A304" s="51"/>
      <c r="G304" s="53"/>
      <c r="H304" s="54"/>
    </row>
    <row r="305" spans="1:8" x14ac:dyDescent="0.2">
      <c r="A305" s="51"/>
      <c r="G305" s="53"/>
      <c r="H305" s="54"/>
    </row>
    <row r="306" spans="1:8" x14ac:dyDescent="0.2">
      <c r="A306" s="51"/>
      <c r="G306" s="53"/>
      <c r="H306" s="54"/>
    </row>
    <row r="307" spans="1:8" x14ac:dyDescent="0.2">
      <c r="A307" s="51"/>
      <c r="G307" s="53"/>
      <c r="H307" s="54"/>
    </row>
    <row r="308" spans="1:8" x14ac:dyDescent="0.2">
      <c r="A308" s="51"/>
      <c r="G308" s="53"/>
      <c r="H308" s="54"/>
    </row>
    <row r="309" spans="1:8" x14ac:dyDescent="0.2">
      <c r="A309" s="51"/>
      <c r="G309" s="53"/>
      <c r="H309" s="54"/>
    </row>
    <row r="310" spans="1:8" x14ac:dyDescent="0.2">
      <c r="A310" s="51"/>
      <c r="G310" s="53"/>
      <c r="H310" s="54"/>
    </row>
    <row r="311" spans="1:8" x14ac:dyDescent="0.2">
      <c r="A311" s="51"/>
      <c r="G311" s="53"/>
      <c r="H311" s="54"/>
    </row>
    <row r="312" spans="1:8" x14ac:dyDescent="0.2">
      <c r="A312" s="51"/>
      <c r="G312" s="53"/>
      <c r="H312" s="54"/>
    </row>
    <row r="313" spans="1:8" x14ac:dyDescent="0.2">
      <c r="A313" s="51"/>
      <c r="G313" s="53"/>
      <c r="H313" s="54"/>
    </row>
    <row r="314" spans="1:8" x14ac:dyDescent="0.2">
      <c r="A314" s="51"/>
      <c r="G314" s="53"/>
      <c r="H314" s="54"/>
    </row>
    <row r="315" spans="1:8" x14ac:dyDescent="0.2">
      <c r="A315" s="51"/>
      <c r="G315" s="53"/>
      <c r="H315" s="54"/>
    </row>
    <row r="316" spans="1:8" x14ac:dyDescent="0.2">
      <c r="A316" s="51"/>
      <c r="G316" s="53"/>
      <c r="H316" s="54"/>
    </row>
    <row r="317" spans="1:8" x14ac:dyDescent="0.2">
      <c r="A317" s="51"/>
      <c r="G317" s="53"/>
      <c r="H317" s="54"/>
    </row>
    <row r="318" spans="1:8" x14ac:dyDescent="0.2">
      <c r="A318" s="51"/>
      <c r="G318" s="53"/>
      <c r="H318" s="54"/>
    </row>
    <row r="319" spans="1:8" x14ac:dyDescent="0.2">
      <c r="A319" s="51"/>
      <c r="G319" s="53"/>
      <c r="H319" s="54"/>
    </row>
    <row r="320" spans="1:8" x14ac:dyDescent="0.2">
      <c r="A320" s="51"/>
      <c r="G320" s="53"/>
      <c r="H320" s="54"/>
    </row>
    <row r="321" spans="1:8" x14ac:dyDescent="0.2">
      <c r="A321" s="51"/>
      <c r="G321" s="53"/>
      <c r="H321" s="54"/>
    </row>
    <row r="322" spans="1:8" x14ac:dyDescent="0.2">
      <c r="A322" s="51"/>
      <c r="G322" s="53"/>
      <c r="H322" s="54"/>
    </row>
    <row r="323" spans="1:8" x14ac:dyDescent="0.2">
      <c r="A323" s="51"/>
      <c r="G323" s="53"/>
      <c r="H323" s="54"/>
    </row>
    <row r="324" spans="1:8" x14ac:dyDescent="0.2">
      <c r="A324" s="51"/>
      <c r="G324" s="53"/>
      <c r="H324" s="54"/>
    </row>
    <row r="325" spans="1:8" x14ac:dyDescent="0.2">
      <c r="A325" s="51"/>
      <c r="G325" s="53"/>
      <c r="H325" s="54"/>
    </row>
    <row r="326" spans="1:8" x14ac:dyDescent="0.2">
      <c r="A326" s="51"/>
      <c r="G326" s="53"/>
      <c r="H326" s="54"/>
    </row>
    <row r="327" spans="1:8" x14ac:dyDescent="0.2">
      <c r="A327" s="51"/>
      <c r="G327" s="53"/>
      <c r="H327" s="54"/>
    </row>
    <row r="328" spans="1:8" x14ac:dyDescent="0.2">
      <c r="A328" s="51"/>
      <c r="G328" s="53"/>
      <c r="H328" s="54"/>
    </row>
    <row r="329" spans="1:8" x14ac:dyDescent="0.2">
      <c r="A329" s="51"/>
      <c r="G329" s="53"/>
      <c r="H329" s="54"/>
    </row>
    <row r="330" spans="1:8" x14ac:dyDescent="0.2">
      <c r="A330" s="51"/>
      <c r="G330" s="53"/>
      <c r="H330" s="54"/>
    </row>
    <row r="331" spans="1:8" x14ac:dyDescent="0.2">
      <c r="A331" s="51"/>
      <c r="G331" s="53"/>
      <c r="H331" s="54"/>
    </row>
    <row r="332" spans="1:8" x14ac:dyDescent="0.2">
      <c r="A332" s="51"/>
      <c r="G332" s="53"/>
      <c r="H332" s="54"/>
    </row>
    <row r="333" spans="1:8" x14ac:dyDescent="0.2">
      <c r="A333" s="51"/>
      <c r="G333" s="53"/>
      <c r="H333" s="54"/>
    </row>
    <row r="334" spans="1:8" x14ac:dyDescent="0.2">
      <c r="A334" s="51"/>
      <c r="G334" s="53"/>
      <c r="H334" s="54"/>
    </row>
    <row r="335" spans="1:8" x14ac:dyDescent="0.2">
      <c r="A335" s="51"/>
      <c r="G335" s="53"/>
      <c r="H335" s="54"/>
    </row>
    <row r="336" spans="1:8" x14ac:dyDescent="0.2">
      <c r="A336" s="51"/>
      <c r="G336" s="53"/>
      <c r="H336" s="54"/>
    </row>
    <row r="337" spans="1:8" x14ac:dyDescent="0.2">
      <c r="A337" s="51"/>
      <c r="G337" s="53"/>
      <c r="H337" s="54"/>
    </row>
    <row r="338" spans="1:8" x14ac:dyDescent="0.2">
      <c r="A338" s="51"/>
      <c r="G338" s="53"/>
      <c r="H338" s="54"/>
    </row>
    <row r="339" spans="1:8" x14ac:dyDescent="0.2">
      <c r="A339" s="51"/>
      <c r="G339" s="53"/>
      <c r="H339" s="54"/>
    </row>
    <row r="340" spans="1:8" x14ac:dyDescent="0.2">
      <c r="A340" s="51"/>
      <c r="G340" s="53"/>
      <c r="H340" s="54"/>
    </row>
    <row r="341" spans="1:8" x14ac:dyDescent="0.2">
      <c r="A341" s="51"/>
      <c r="G341" s="53"/>
      <c r="H341" s="54"/>
    </row>
    <row r="342" spans="1:8" x14ac:dyDescent="0.2">
      <c r="A342" s="51"/>
      <c r="G342" s="53"/>
      <c r="H342" s="54"/>
    </row>
    <row r="343" spans="1:8" x14ac:dyDescent="0.2">
      <c r="A343" s="51"/>
      <c r="G343" s="53"/>
      <c r="H343" s="54"/>
    </row>
    <row r="344" spans="1:8" x14ac:dyDescent="0.2">
      <c r="A344" s="51"/>
      <c r="G344" s="53"/>
      <c r="H344" s="54"/>
    </row>
    <row r="345" spans="1:8" x14ac:dyDescent="0.2">
      <c r="A345" s="51"/>
      <c r="G345" s="53"/>
      <c r="H345" s="54"/>
    </row>
    <row r="346" spans="1:8" x14ac:dyDescent="0.2">
      <c r="A346" s="51"/>
      <c r="G346" s="53"/>
      <c r="H346" s="54"/>
    </row>
    <row r="347" spans="1:8" x14ac:dyDescent="0.2">
      <c r="A347" s="51"/>
      <c r="G347" s="53"/>
      <c r="H347" s="54"/>
    </row>
    <row r="348" spans="1:8" x14ac:dyDescent="0.2">
      <c r="A348" s="51"/>
      <c r="G348" s="53"/>
      <c r="H348" s="54"/>
    </row>
    <row r="349" spans="1:8" x14ac:dyDescent="0.2">
      <c r="A349" s="51"/>
      <c r="G349" s="53"/>
      <c r="H349" s="54"/>
    </row>
    <row r="350" spans="1:8" x14ac:dyDescent="0.2">
      <c r="A350" s="51"/>
      <c r="G350" s="53"/>
      <c r="H350" s="54"/>
    </row>
    <row r="351" spans="1:8" x14ac:dyDescent="0.2">
      <c r="A351" s="51"/>
      <c r="G351" s="53"/>
      <c r="H351" s="54"/>
    </row>
    <row r="352" spans="1:8" x14ac:dyDescent="0.2">
      <c r="A352" s="51"/>
      <c r="G352" s="53"/>
      <c r="H352" s="54"/>
    </row>
    <row r="353" spans="1:8" x14ac:dyDescent="0.2">
      <c r="A353" s="51"/>
      <c r="G353" s="53"/>
      <c r="H353" s="54"/>
    </row>
    <row r="354" spans="1:8" x14ac:dyDescent="0.2">
      <c r="A354" s="51"/>
      <c r="G354" s="53"/>
      <c r="H354" s="54"/>
    </row>
    <row r="355" spans="1:8" x14ac:dyDescent="0.2">
      <c r="A355" s="51"/>
      <c r="G355" s="53"/>
      <c r="H355" s="54"/>
    </row>
    <row r="356" spans="1:8" x14ac:dyDescent="0.2">
      <c r="A356" s="51"/>
      <c r="G356" s="53"/>
      <c r="H356" s="54"/>
    </row>
    <row r="357" spans="1:8" x14ac:dyDescent="0.2">
      <c r="A357" s="51"/>
      <c r="G357" s="53"/>
      <c r="H357" s="54"/>
    </row>
    <row r="358" spans="1:8" x14ac:dyDescent="0.2">
      <c r="A358" s="51"/>
      <c r="G358" s="53"/>
      <c r="H358" s="54"/>
    </row>
    <row r="359" spans="1:8" x14ac:dyDescent="0.2">
      <c r="A359" s="51"/>
      <c r="G359" s="53"/>
      <c r="H359" s="54"/>
    </row>
    <row r="360" spans="1:8" x14ac:dyDescent="0.2">
      <c r="A360" s="51"/>
      <c r="G360" s="53"/>
      <c r="H360" s="54"/>
    </row>
    <row r="361" spans="1:8" x14ac:dyDescent="0.2">
      <c r="A361" s="51"/>
      <c r="G361" s="53"/>
      <c r="H361" s="54"/>
    </row>
    <row r="362" spans="1:8" x14ac:dyDescent="0.2">
      <c r="A362" s="51"/>
      <c r="G362" s="53"/>
      <c r="H362" s="54"/>
    </row>
    <row r="363" spans="1:8" x14ac:dyDescent="0.2">
      <c r="A363" s="51"/>
      <c r="G363" s="53"/>
      <c r="H363" s="54"/>
    </row>
    <row r="364" spans="1:8" x14ac:dyDescent="0.2">
      <c r="A364" s="51"/>
      <c r="G364" s="53"/>
      <c r="H364" s="54"/>
    </row>
    <row r="365" spans="1:8" x14ac:dyDescent="0.2">
      <c r="A365" s="51"/>
      <c r="G365" s="53"/>
      <c r="H365" s="54"/>
    </row>
    <row r="366" spans="1:8" x14ac:dyDescent="0.2">
      <c r="A366" s="51"/>
      <c r="G366" s="53"/>
      <c r="H366" s="54"/>
    </row>
    <row r="367" spans="1:8" x14ac:dyDescent="0.2">
      <c r="A367" s="51"/>
      <c r="G367" s="53"/>
      <c r="H367" s="54"/>
    </row>
    <row r="368" spans="1:8" x14ac:dyDescent="0.2">
      <c r="A368" s="51"/>
      <c r="G368" s="53"/>
      <c r="H368" s="54"/>
    </row>
    <row r="369" spans="1:8" x14ac:dyDescent="0.2">
      <c r="A369" s="51"/>
      <c r="G369" s="53"/>
      <c r="H369" s="54"/>
    </row>
    <row r="370" spans="1:8" x14ac:dyDescent="0.2">
      <c r="A370" s="51"/>
      <c r="G370" s="53"/>
      <c r="H370" s="54"/>
    </row>
    <row r="371" spans="1:8" x14ac:dyDescent="0.2">
      <c r="A371" s="51"/>
      <c r="G371" s="53"/>
      <c r="H371" s="54"/>
    </row>
    <row r="372" spans="1:8" x14ac:dyDescent="0.2">
      <c r="A372" s="51"/>
      <c r="G372" s="53"/>
      <c r="H372" s="54"/>
    </row>
    <row r="373" spans="1:8" x14ac:dyDescent="0.2">
      <c r="A373" s="51"/>
      <c r="G373" s="53"/>
      <c r="H373" s="54"/>
    </row>
    <row r="374" spans="1:8" x14ac:dyDescent="0.2">
      <c r="A374" s="51"/>
      <c r="G374" s="53"/>
      <c r="H374" s="54"/>
    </row>
    <row r="375" spans="1:8" x14ac:dyDescent="0.2">
      <c r="A375" s="51"/>
      <c r="G375" s="53"/>
      <c r="H375" s="54"/>
    </row>
    <row r="376" spans="1:8" x14ac:dyDescent="0.2">
      <c r="A376" s="51"/>
      <c r="G376" s="53"/>
      <c r="H376" s="54"/>
    </row>
    <row r="377" spans="1:8" x14ac:dyDescent="0.2">
      <c r="A377" s="51"/>
      <c r="G377" s="53"/>
      <c r="H377" s="54"/>
    </row>
    <row r="378" spans="1:8" x14ac:dyDescent="0.2">
      <c r="A378" s="51"/>
      <c r="G378" s="53"/>
      <c r="H378" s="54"/>
    </row>
    <row r="379" spans="1:8" x14ac:dyDescent="0.2">
      <c r="A379" s="51"/>
      <c r="G379" s="53"/>
      <c r="H379" s="54"/>
    </row>
    <row r="380" spans="1:8" x14ac:dyDescent="0.2">
      <c r="A380" s="51"/>
      <c r="G380" s="53"/>
      <c r="H380" s="54"/>
    </row>
    <row r="381" spans="1:8" x14ac:dyDescent="0.2">
      <c r="A381" s="51"/>
      <c r="G381" s="53"/>
      <c r="H381" s="54"/>
    </row>
    <row r="382" spans="1:8" x14ac:dyDescent="0.2">
      <c r="A382" s="51"/>
      <c r="G382" s="53"/>
      <c r="H382" s="54"/>
    </row>
    <row r="383" spans="1:8" x14ac:dyDescent="0.2">
      <c r="A383" s="51"/>
      <c r="G383" s="53"/>
      <c r="H383" s="54"/>
    </row>
    <row r="384" spans="1:8" x14ac:dyDescent="0.2">
      <c r="A384" s="51"/>
      <c r="G384" s="53"/>
      <c r="H384" s="54"/>
    </row>
    <row r="385" spans="1:8" x14ac:dyDescent="0.2">
      <c r="A385" s="51"/>
      <c r="G385" s="53"/>
      <c r="H385" s="54"/>
    </row>
    <row r="386" spans="1:8" x14ac:dyDescent="0.2">
      <c r="A386" s="51"/>
      <c r="G386" s="53"/>
      <c r="H386" s="54"/>
    </row>
    <row r="387" spans="1:8" x14ac:dyDescent="0.2">
      <c r="A387" s="51"/>
      <c r="G387" s="53"/>
      <c r="H387" s="54"/>
    </row>
    <row r="388" spans="1:8" x14ac:dyDescent="0.2">
      <c r="A388" s="51"/>
      <c r="G388" s="53"/>
      <c r="H388" s="54"/>
    </row>
    <row r="389" spans="1:8" x14ac:dyDescent="0.2">
      <c r="A389" s="51"/>
      <c r="G389" s="53"/>
      <c r="H389" s="54"/>
    </row>
    <row r="390" spans="1:8" x14ac:dyDescent="0.2">
      <c r="A390" s="51"/>
      <c r="G390" s="53"/>
      <c r="H390" s="54"/>
    </row>
    <row r="391" spans="1:8" x14ac:dyDescent="0.2">
      <c r="A391" s="51"/>
      <c r="G391" s="53"/>
      <c r="H391" s="54"/>
    </row>
    <row r="392" spans="1:8" x14ac:dyDescent="0.2">
      <c r="A392" s="51"/>
      <c r="G392" s="53"/>
      <c r="H392" s="54"/>
    </row>
    <row r="393" spans="1:8" x14ac:dyDescent="0.2">
      <c r="A393" s="51"/>
      <c r="G393" s="53"/>
      <c r="H393" s="54"/>
    </row>
    <row r="394" spans="1:8" x14ac:dyDescent="0.2">
      <c r="A394" s="51"/>
      <c r="G394" s="53"/>
      <c r="H394" s="54"/>
    </row>
    <row r="395" spans="1:8" x14ac:dyDescent="0.2">
      <c r="A395" s="51"/>
      <c r="G395" s="53"/>
      <c r="H395" s="54"/>
    </row>
    <row r="396" spans="1:8" x14ac:dyDescent="0.2">
      <c r="A396" s="51"/>
      <c r="G396" s="53"/>
      <c r="H396" s="54"/>
    </row>
    <row r="397" spans="1:8" x14ac:dyDescent="0.2">
      <c r="A397" s="51"/>
      <c r="G397" s="53"/>
      <c r="H397" s="54"/>
    </row>
    <row r="398" spans="1:8" x14ac:dyDescent="0.2">
      <c r="A398" s="51"/>
      <c r="G398" s="53"/>
      <c r="H398" s="54"/>
    </row>
    <row r="399" spans="1:8" x14ac:dyDescent="0.2">
      <c r="A399" s="51"/>
      <c r="G399" s="53"/>
      <c r="H399" s="54"/>
    </row>
    <row r="400" spans="1:8" x14ac:dyDescent="0.2">
      <c r="A400" s="51"/>
      <c r="G400" s="53"/>
      <c r="H400" s="54"/>
    </row>
    <row r="401" spans="1:8" x14ac:dyDescent="0.2">
      <c r="A401" s="51"/>
      <c r="G401" s="53"/>
      <c r="H401" s="54"/>
    </row>
    <row r="402" spans="1:8" x14ac:dyDescent="0.2">
      <c r="A402" s="51"/>
      <c r="G402" s="53"/>
      <c r="H402" s="54"/>
    </row>
    <row r="403" spans="1:8" x14ac:dyDescent="0.2">
      <c r="A403" s="51"/>
      <c r="G403" s="53"/>
      <c r="H403" s="54"/>
    </row>
    <row r="404" spans="1:8" x14ac:dyDescent="0.2">
      <c r="A404" s="51"/>
      <c r="G404" s="53"/>
      <c r="H404" s="54"/>
    </row>
    <row r="405" spans="1:8" x14ac:dyDescent="0.2">
      <c r="A405" s="51"/>
      <c r="G405" s="53"/>
      <c r="H405" s="54"/>
    </row>
    <row r="406" spans="1:8" x14ac:dyDescent="0.2">
      <c r="A406" s="51"/>
      <c r="G406" s="53"/>
      <c r="H406" s="54"/>
    </row>
    <row r="407" spans="1:8" x14ac:dyDescent="0.2">
      <c r="A407" s="51"/>
      <c r="G407" s="53"/>
      <c r="H407" s="54"/>
    </row>
    <row r="408" spans="1:8" x14ac:dyDescent="0.2">
      <c r="A408" s="51"/>
      <c r="G408" s="53"/>
      <c r="H408" s="54"/>
    </row>
    <row r="409" spans="1:8" x14ac:dyDescent="0.2">
      <c r="A409" s="51"/>
      <c r="G409" s="53"/>
      <c r="H409" s="54"/>
    </row>
    <row r="410" spans="1:8" x14ac:dyDescent="0.2">
      <c r="A410" s="51"/>
      <c r="G410" s="53"/>
      <c r="H410" s="54"/>
    </row>
    <row r="411" spans="1:8" x14ac:dyDescent="0.2">
      <c r="A411" s="51"/>
      <c r="G411" s="53"/>
      <c r="H411" s="54"/>
    </row>
    <row r="412" spans="1:8" x14ac:dyDescent="0.2">
      <c r="A412" s="51"/>
      <c r="G412" s="53"/>
      <c r="H412" s="54"/>
    </row>
    <row r="413" spans="1:8" x14ac:dyDescent="0.2">
      <c r="A413" s="51"/>
      <c r="G413" s="53"/>
      <c r="H413" s="54"/>
    </row>
    <row r="414" spans="1:8" x14ac:dyDescent="0.2">
      <c r="A414" s="51"/>
      <c r="G414" s="53"/>
      <c r="H414" s="54"/>
    </row>
    <row r="415" spans="1:8" x14ac:dyDescent="0.2">
      <c r="A415" s="51"/>
      <c r="G415" s="53"/>
      <c r="H415" s="54"/>
    </row>
    <row r="416" spans="1:8" x14ac:dyDescent="0.2">
      <c r="A416" s="51"/>
      <c r="G416" s="53"/>
      <c r="H416" s="54"/>
    </row>
    <row r="417" spans="1:8" x14ac:dyDescent="0.2">
      <c r="A417" s="51"/>
      <c r="G417" s="53"/>
      <c r="H417" s="54"/>
    </row>
    <row r="418" spans="1:8" x14ac:dyDescent="0.2">
      <c r="A418" s="51"/>
      <c r="G418" s="53"/>
      <c r="H418" s="54"/>
    </row>
    <row r="419" spans="1:8" x14ac:dyDescent="0.2">
      <c r="A419" s="51"/>
      <c r="G419" s="53"/>
      <c r="H419" s="54"/>
    </row>
    <row r="420" spans="1:8" x14ac:dyDescent="0.2">
      <c r="A420" s="51"/>
      <c r="G420" s="53"/>
      <c r="H420" s="54"/>
    </row>
    <row r="421" spans="1:8" x14ac:dyDescent="0.2">
      <c r="A421" s="51"/>
      <c r="G421" s="53"/>
      <c r="H421" s="54"/>
    </row>
    <row r="422" spans="1:8" x14ac:dyDescent="0.2">
      <c r="A422" s="51"/>
      <c r="G422" s="53"/>
      <c r="H422" s="54"/>
    </row>
    <row r="423" spans="1:8" x14ac:dyDescent="0.2">
      <c r="A423" s="51"/>
      <c r="G423" s="53"/>
      <c r="H423" s="54"/>
    </row>
    <row r="424" spans="1:8" x14ac:dyDescent="0.2">
      <c r="A424" s="51"/>
      <c r="G424" s="53"/>
      <c r="H424" s="54"/>
    </row>
    <row r="425" spans="1:8" x14ac:dyDescent="0.2">
      <c r="A425" s="51"/>
      <c r="G425" s="53"/>
      <c r="H425" s="54"/>
    </row>
    <row r="426" spans="1:8" x14ac:dyDescent="0.2">
      <c r="A426" s="51"/>
      <c r="G426" s="53"/>
      <c r="H426" s="54"/>
    </row>
    <row r="427" spans="1:8" x14ac:dyDescent="0.2">
      <c r="A427" s="51"/>
      <c r="G427" s="53"/>
      <c r="H427" s="54"/>
    </row>
    <row r="428" spans="1:8" x14ac:dyDescent="0.2">
      <c r="A428" s="51"/>
      <c r="G428" s="53"/>
      <c r="H428" s="54"/>
    </row>
    <row r="429" spans="1:8" x14ac:dyDescent="0.2">
      <c r="A429" s="51"/>
      <c r="G429" s="53"/>
      <c r="H429" s="54"/>
    </row>
    <row r="430" spans="1:8" x14ac:dyDescent="0.2">
      <c r="A430" s="51"/>
      <c r="G430" s="53"/>
      <c r="H430" s="54"/>
    </row>
    <row r="431" spans="1:8" x14ac:dyDescent="0.2">
      <c r="A431" s="51"/>
      <c r="G431" s="53"/>
      <c r="H431" s="54"/>
    </row>
    <row r="432" spans="1:8" x14ac:dyDescent="0.2">
      <c r="A432" s="51"/>
      <c r="G432" s="53"/>
      <c r="H432" s="54"/>
    </row>
    <row r="433" spans="1:8" x14ac:dyDescent="0.2">
      <c r="A433" s="51"/>
      <c r="G433" s="53"/>
      <c r="H433" s="54"/>
    </row>
    <row r="434" spans="1:8" x14ac:dyDescent="0.2">
      <c r="A434" s="51"/>
      <c r="G434" s="53"/>
      <c r="H434" s="54"/>
    </row>
    <row r="435" spans="1:8" x14ac:dyDescent="0.2">
      <c r="A435" s="51"/>
      <c r="G435" s="53"/>
      <c r="H435" s="54"/>
    </row>
    <row r="436" spans="1:8" x14ac:dyDescent="0.2">
      <c r="A436" s="51"/>
      <c r="G436" s="53"/>
      <c r="H436" s="54"/>
    </row>
    <row r="437" spans="1:8" x14ac:dyDescent="0.2">
      <c r="A437" s="51"/>
      <c r="G437" s="53"/>
      <c r="H437" s="54"/>
    </row>
    <row r="438" spans="1:8" x14ac:dyDescent="0.2">
      <c r="A438" s="51"/>
      <c r="G438" s="53"/>
      <c r="H438" s="54"/>
    </row>
    <row r="439" spans="1:8" x14ac:dyDescent="0.2">
      <c r="A439" s="51"/>
      <c r="G439" s="53"/>
      <c r="H439" s="54"/>
    </row>
    <row r="440" spans="1:8" x14ac:dyDescent="0.2">
      <c r="A440" s="51"/>
      <c r="G440" s="53"/>
      <c r="H440" s="54"/>
    </row>
    <row r="441" spans="1:8" x14ac:dyDescent="0.2">
      <c r="A441" s="51"/>
      <c r="G441" s="53"/>
      <c r="H441" s="54"/>
    </row>
    <row r="442" spans="1:8" x14ac:dyDescent="0.2">
      <c r="A442" s="51"/>
      <c r="G442" s="53"/>
      <c r="H442" s="54"/>
    </row>
    <row r="443" spans="1:8" x14ac:dyDescent="0.2">
      <c r="A443" s="51"/>
      <c r="G443" s="53"/>
      <c r="H443" s="54"/>
    </row>
    <row r="444" spans="1:8" x14ac:dyDescent="0.2">
      <c r="A444" s="51"/>
      <c r="G444" s="53"/>
      <c r="H444" s="54"/>
    </row>
    <row r="445" spans="1:8" x14ac:dyDescent="0.2">
      <c r="A445" s="51"/>
      <c r="G445" s="53"/>
      <c r="H445" s="54"/>
    </row>
    <row r="446" spans="1:8" x14ac:dyDescent="0.2">
      <c r="A446" s="51"/>
      <c r="G446" s="53"/>
      <c r="H446" s="54"/>
    </row>
    <row r="447" spans="1:8" x14ac:dyDescent="0.2">
      <c r="A447" s="51"/>
      <c r="G447" s="53"/>
      <c r="H447" s="54"/>
    </row>
    <row r="448" spans="1:8" x14ac:dyDescent="0.2">
      <c r="A448" s="51"/>
      <c r="G448" s="53"/>
      <c r="H448" s="54"/>
    </row>
    <row r="449" spans="1:8" x14ac:dyDescent="0.2">
      <c r="A449" s="51"/>
      <c r="G449" s="53"/>
      <c r="H449" s="54"/>
    </row>
    <row r="450" spans="1:8" x14ac:dyDescent="0.2">
      <c r="A450" s="51"/>
      <c r="G450" s="53"/>
      <c r="H450" s="54"/>
    </row>
    <row r="451" spans="1:8" x14ac:dyDescent="0.2">
      <c r="A451" s="51"/>
      <c r="G451" s="53"/>
      <c r="H451" s="54"/>
    </row>
    <row r="452" spans="1:8" x14ac:dyDescent="0.2">
      <c r="A452" s="51"/>
      <c r="G452" s="53"/>
      <c r="H452" s="54"/>
    </row>
    <row r="453" spans="1:8" x14ac:dyDescent="0.2">
      <c r="A453" s="51"/>
      <c r="G453" s="53"/>
      <c r="H453" s="54"/>
    </row>
    <row r="454" spans="1:8" x14ac:dyDescent="0.2">
      <c r="A454" s="51"/>
      <c r="G454" s="53"/>
      <c r="H454" s="54"/>
    </row>
    <row r="455" spans="1:8" x14ac:dyDescent="0.2">
      <c r="A455" s="51"/>
      <c r="G455" s="53"/>
      <c r="H455" s="54"/>
    </row>
    <row r="456" spans="1:8" x14ac:dyDescent="0.2">
      <c r="A456" s="51"/>
      <c r="G456" s="53"/>
      <c r="H456" s="54"/>
    </row>
    <row r="457" spans="1:8" x14ac:dyDescent="0.2">
      <c r="A457" s="51"/>
      <c r="G457" s="53"/>
      <c r="H457" s="54"/>
    </row>
    <row r="458" spans="1:8" x14ac:dyDescent="0.2">
      <c r="A458" s="51"/>
      <c r="G458" s="53"/>
      <c r="H458" s="54"/>
    </row>
    <row r="459" spans="1:8" x14ac:dyDescent="0.2">
      <c r="A459" s="51"/>
      <c r="G459" s="53"/>
      <c r="H459" s="54"/>
    </row>
    <row r="460" spans="1:8" x14ac:dyDescent="0.2">
      <c r="A460" s="51"/>
      <c r="G460" s="53"/>
      <c r="H460" s="54"/>
    </row>
    <row r="461" spans="1:8" x14ac:dyDescent="0.2">
      <c r="A461" s="51"/>
      <c r="G461" s="53"/>
      <c r="H461" s="54"/>
    </row>
    <row r="462" spans="1:8" x14ac:dyDescent="0.2">
      <c r="A462" s="51"/>
      <c r="G462" s="53"/>
      <c r="H462" s="54"/>
    </row>
    <row r="463" spans="1:8" x14ac:dyDescent="0.2">
      <c r="A463" s="51"/>
      <c r="G463" s="53"/>
      <c r="H463" s="54"/>
    </row>
    <row r="464" spans="1:8" x14ac:dyDescent="0.2">
      <c r="A464" s="51"/>
      <c r="G464" s="53"/>
      <c r="H464" s="54"/>
    </row>
    <row r="465" spans="1:8" x14ac:dyDescent="0.2">
      <c r="A465" s="51"/>
      <c r="G465" s="53"/>
      <c r="H465" s="54"/>
    </row>
    <row r="466" spans="1:8" x14ac:dyDescent="0.2">
      <c r="A466" s="51"/>
      <c r="G466" s="53"/>
      <c r="H466" s="54"/>
    </row>
    <row r="467" spans="1:8" x14ac:dyDescent="0.2">
      <c r="A467" s="51"/>
      <c r="G467" s="53"/>
      <c r="H467" s="54"/>
    </row>
    <row r="468" spans="1:8" x14ac:dyDescent="0.2">
      <c r="A468" s="51"/>
      <c r="G468" s="53"/>
      <c r="H468" s="54"/>
    </row>
    <row r="469" spans="1:8" x14ac:dyDescent="0.2">
      <c r="A469" s="51"/>
      <c r="G469" s="53"/>
      <c r="H469" s="54"/>
    </row>
    <row r="470" spans="1:8" x14ac:dyDescent="0.2">
      <c r="A470" s="51"/>
      <c r="G470" s="53"/>
      <c r="H470" s="54"/>
    </row>
    <row r="471" spans="1:8" x14ac:dyDescent="0.2">
      <c r="A471" s="51"/>
      <c r="G471" s="53"/>
      <c r="H471" s="54"/>
    </row>
    <row r="472" spans="1:8" x14ac:dyDescent="0.2">
      <c r="A472" s="51"/>
      <c r="G472" s="53"/>
      <c r="H472" s="54"/>
    </row>
    <row r="473" spans="1:8" x14ac:dyDescent="0.2">
      <c r="A473" s="51"/>
      <c r="G473" s="53"/>
      <c r="H473" s="54"/>
    </row>
    <row r="474" spans="1:8" x14ac:dyDescent="0.2">
      <c r="A474" s="51"/>
      <c r="G474" s="53"/>
      <c r="H474" s="54"/>
    </row>
    <row r="475" spans="1:8" x14ac:dyDescent="0.2">
      <c r="A475" s="51"/>
      <c r="G475" s="53"/>
      <c r="H475" s="54"/>
    </row>
    <row r="476" spans="1:8" x14ac:dyDescent="0.2">
      <c r="A476" s="51"/>
      <c r="G476" s="53"/>
      <c r="H476" s="54"/>
    </row>
    <row r="477" spans="1:8" x14ac:dyDescent="0.2">
      <c r="A477" s="51"/>
      <c r="G477" s="53"/>
      <c r="H477" s="54"/>
    </row>
    <row r="478" spans="1:8" x14ac:dyDescent="0.2">
      <c r="A478" s="51"/>
      <c r="G478" s="53"/>
      <c r="H478" s="54"/>
    </row>
    <row r="479" spans="1:8" x14ac:dyDescent="0.2">
      <c r="A479" s="51"/>
      <c r="G479" s="53"/>
      <c r="H479" s="54"/>
    </row>
    <row r="480" spans="1:8" x14ac:dyDescent="0.2">
      <c r="A480" s="51"/>
      <c r="G480" s="53"/>
      <c r="H480" s="54"/>
    </row>
    <row r="481" spans="1:8" x14ac:dyDescent="0.2">
      <c r="A481" s="51"/>
      <c r="G481" s="53"/>
      <c r="H481" s="54"/>
    </row>
    <row r="482" spans="1:8" x14ac:dyDescent="0.2">
      <c r="A482" s="51"/>
      <c r="G482" s="53"/>
      <c r="H482" s="54"/>
    </row>
    <row r="483" spans="1:8" x14ac:dyDescent="0.2">
      <c r="A483" s="51"/>
      <c r="G483" s="53"/>
      <c r="H483" s="54"/>
    </row>
    <row r="484" spans="1:8" x14ac:dyDescent="0.2">
      <c r="A484" s="51"/>
      <c r="G484" s="53"/>
      <c r="H484" s="54"/>
    </row>
    <row r="485" spans="1:8" x14ac:dyDescent="0.2">
      <c r="A485" s="51"/>
      <c r="G485" s="53"/>
      <c r="H485" s="54"/>
    </row>
    <row r="486" spans="1:8" x14ac:dyDescent="0.2">
      <c r="A486" s="51"/>
      <c r="G486" s="53"/>
      <c r="H486" s="54"/>
    </row>
    <row r="487" spans="1:8" x14ac:dyDescent="0.2">
      <c r="A487" s="51"/>
      <c r="G487" s="53"/>
      <c r="H487" s="54"/>
    </row>
    <row r="488" spans="1:8" x14ac:dyDescent="0.2">
      <c r="A488" s="51"/>
      <c r="G488" s="53"/>
      <c r="H488" s="54"/>
    </row>
    <row r="489" spans="1:8" x14ac:dyDescent="0.2">
      <c r="A489" s="51"/>
      <c r="G489" s="53"/>
      <c r="H489" s="54"/>
    </row>
    <row r="490" spans="1:8" x14ac:dyDescent="0.2">
      <c r="A490" s="51"/>
      <c r="G490" s="53"/>
      <c r="H490" s="54"/>
    </row>
    <row r="491" spans="1:8" x14ac:dyDescent="0.2">
      <c r="A491" s="51"/>
      <c r="G491" s="53"/>
      <c r="H491" s="54"/>
    </row>
    <row r="492" spans="1:8" x14ac:dyDescent="0.2">
      <c r="A492" s="51"/>
      <c r="G492" s="53"/>
      <c r="H492" s="54"/>
    </row>
    <row r="493" spans="1:8" x14ac:dyDescent="0.2">
      <c r="A493" s="51"/>
      <c r="G493" s="53"/>
      <c r="H493" s="54"/>
    </row>
    <row r="494" spans="1:8" x14ac:dyDescent="0.2">
      <c r="A494" s="51"/>
      <c r="G494" s="53"/>
      <c r="H494" s="54"/>
    </row>
    <row r="495" spans="1:8" x14ac:dyDescent="0.2">
      <c r="A495" s="51"/>
      <c r="G495" s="53"/>
      <c r="H495" s="54"/>
    </row>
    <row r="496" spans="1:8" x14ac:dyDescent="0.2">
      <c r="A496" s="51"/>
      <c r="G496" s="53"/>
      <c r="H496" s="54"/>
    </row>
    <row r="497" spans="1:8" x14ac:dyDescent="0.2">
      <c r="A497" s="51"/>
      <c r="G497" s="53"/>
      <c r="H497" s="54"/>
    </row>
    <row r="498" spans="1:8" x14ac:dyDescent="0.2">
      <c r="A498" s="51"/>
      <c r="G498" s="53"/>
      <c r="H498" s="54"/>
    </row>
    <row r="499" spans="1:8" x14ac:dyDescent="0.2">
      <c r="A499" s="51"/>
      <c r="G499" s="53"/>
      <c r="H499" s="54"/>
    </row>
    <row r="500" spans="1:8" x14ac:dyDescent="0.2">
      <c r="A500" s="51"/>
      <c r="G500" s="53"/>
      <c r="H500" s="54"/>
    </row>
    <row r="501" spans="1:8" x14ac:dyDescent="0.2">
      <c r="A501" s="51"/>
      <c r="G501" s="53"/>
      <c r="H501" s="54"/>
    </row>
    <row r="502" spans="1:8" x14ac:dyDescent="0.2">
      <c r="A502" s="51"/>
      <c r="G502" s="53"/>
      <c r="H502" s="54"/>
    </row>
    <row r="503" spans="1:8" x14ac:dyDescent="0.2">
      <c r="A503" s="51"/>
      <c r="G503" s="53"/>
      <c r="H503" s="54"/>
    </row>
    <row r="504" spans="1:8" x14ac:dyDescent="0.2">
      <c r="A504" s="51"/>
      <c r="G504" s="53"/>
      <c r="H504" s="54"/>
    </row>
    <row r="505" spans="1:8" x14ac:dyDescent="0.2">
      <c r="A505" s="51"/>
      <c r="G505" s="53"/>
      <c r="H505" s="54"/>
    </row>
    <row r="506" spans="1:8" x14ac:dyDescent="0.2">
      <c r="A506" s="51"/>
      <c r="G506" s="53"/>
      <c r="H506" s="54"/>
    </row>
    <row r="507" spans="1:8" x14ac:dyDescent="0.2">
      <c r="A507" s="51"/>
      <c r="G507" s="53"/>
      <c r="H507" s="54"/>
    </row>
    <row r="508" spans="1:8" x14ac:dyDescent="0.2">
      <c r="A508" s="51"/>
      <c r="G508" s="53"/>
      <c r="H508" s="54"/>
    </row>
    <row r="509" spans="1:8" x14ac:dyDescent="0.2">
      <c r="A509" s="51"/>
      <c r="G509" s="53"/>
      <c r="H509" s="54"/>
    </row>
    <row r="510" spans="1:8" x14ac:dyDescent="0.2">
      <c r="A510" s="51"/>
      <c r="G510" s="53"/>
      <c r="H510" s="54"/>
    </row>
    <row r="511" spans="1:8" x14ac:dyDescent="0.2">
      <c r="A511" s="51"/>
      <c r="G511" s="53"/>
      <c r="H511" s="54"/>
    </row>
    <row r="512" spans="1:8" x14ac:dyDescent="0.2">
      <c r="A512" s="51"/>
      <c r="G512" s="53"/>
      <c r="H512" s="54"/>
    </row>
    <row r="513" spans="1:8" x14ac:dyDescent="0.2">
      <c r="A513" s="51"/>
      <c r="G513" s="53"/>
      <c r="H513" s="54"/>
    </row>
    <row r="514" spans="1:8" x14ac:dyDescent="0.2">
      <c r="A514" s="51"/>
      <c r="G514" s="53"/>
      <c r="H514" s="54"/>
    </row>
    <row r="515" spans="1:8" x14ac:dyDescent="0.2">
      <c r="A515" s="51"/>
      <c r="G515" s="53"/>
      <c r="H515" s="54"/>
    </row>
    <row r="516" spans="1:8" x14ac:dyDescent="0.2">
      <c r="A516" s="51"/>
      <c r="G516" s="53"/>
      <c r="H516" s="54"/>
    </row>
    <row r="517" spans="1:8" x14ac:dyDescent="0.2">
      <c r="A517" s="51"/>
      <c r="G517" s="53"/>
      <c r="H517" s="54"/>
    </row>
    <row r="518" spans="1:8" x14ac:dyDescent="0.2">
      <c r="A518" s="51"/>
      <c r="G518" s="53"/>
      <c r="H518" s="54"/>
    </row>
    <row r="519" spans="1:8" x14ac:dyDescent="0.2">
      <c r="A519" s="51"/>
      <c r="G519" s="53"/>
      <c r="H519" s="54"/>
    </row>
    <row r="520" spans="1:8" x14ac:dyDescent="0.2">
      <c r="A520" s="51"/>
      <c r="G520" s="53"/>
      <c r="H520" s="54"/>
    </row>
    <row r="521" spans="1:8" x14ac:dyDescent="0.2">
      <c r="A521" s="51"/>
      <c r="G521" s="53"/>
      <c r="H521" s="54"/>
    </row>
    <row r="522" spans="1:8" x14ac:dyDescent="0.2">
      <c r="A522" s="51"/>
      <c r="G522" s="53"/>
      <c r="H522" s="54"/>
    </row>
    <row r="523" spans="1:8" x14ac:dyDescent="0.2">
      <c r="A523" s="51"/>
      <c r="G523" s="53"/>
      <c r="H523" s="54"/>
    </row>
    <row r="524" spans="1:8" x14ac:dyDescent="0.2">
      <c r="A524" s="51"/>
      <c r="G524" s="53"/>
      <c r="H524" s="54"/>
    </row>
    <row r="525" spans="1:8" x14ac:dyDescent="0.2">
      <c r="A525" s="51"/>
      <c r="G525" s="53"/>
      <c r="H525" s="54"/>
    </row>
    <row r="526" spans="1:8" x14ac:dyDescent="0.2">
      <c r="A526" s="51"/>
      <c r="G526" s="53"/>
      <c r="H526" s="54"/>
    </row>
    <row r="527" spans="1:8" x14ac:dyDescent="0.2">
      <c r="A527" s="51"/>
      <c r="G527" s="53"/>
      <c r="H527" s="54"/>
    </row>
    <row r="528" spans="1:8" x14ac:dyDescent="0.2">
      <c r="A528" s="51"/>
      <c r="G528" s="53"/>
      <c r="H528" s="54"/>
    </row>
    <row r="529" spans="1:8" x14ac:dyDescent="0.2">
      <c r="A529" s="51"/>
      <c r="G529" s="53"/>
      <c r="H529" s="54"/>
    </row>
    <row r="530" spans="1:8" x14ac:dyDescent="0.2">
      <c r="A530" s="51"/>
      <c r="G530" s="53"/>
      <c r="H530" s="54"/>
    </row>
    <row r="531" spans="1:8" x14ac:dyDescent="0.2">
      <c r="A531" s="51"/>
      <c r="G531" s="53"/>
      <c r="H531" s="54"/>
    </row>
    <row r="532" spans="1:8" x14ac:dyDescent="0.2">
      <c r="A532" s="51"/>
      <c r="G532" s="53"/>
      <c r="H532" s="54"/>
    </row>
    <row r="533" spans="1:8" x14ac:dyDescent="0.2">
      <c r="A533" s="51"/>
      <c r="G533" s="53"/>
      <c r="H533" s="54"/>
    </row>
    <row r="534" spans="1:8" x14ac:dyDescent="0.2">
      <c r="A534" s="51"/>
      <c r="G534" s="53"/>
      <c r="H534" s="54"/>
    </row>
    <row r="535" spans="1:8" x14ac:dyDescent="0.2">
      <c r="A535" s="51"/>
      <c r="G535" s="53"/>
      <c r="H535" s="54"/>
    </row>
    <row r="536" spans="1:8" x14ac:dyDescent="0.2">
      <c r="A536" s="51"/>
      <c r="G536" s="53"/>
      <c r="H536" s="54"/>
    </row>
    <row r="537" spans="1:8" x14ac:dyDescent="0.2">
      <c r="A537" s="51"/>
      <c r="G537" s="53"/>
      <c r="H537" s="54"/>
    </row>
    <row r="538" spans="1:8" x14ac:dyDescent="0.2">
      <c r="A538" s="51"/>
      <c r="G538" s="53"/>
      <c r="H538" s="54"/>
    </row>
    <row r="539" spans="1:8" x14ac:dyDescent="0.2">
      <c r="A539" s="51"/>
      <c r="G539" s="53"/>
      <c r="H539" s="54"/>
    </row>
    <row r="540" spans="1:8" x14ac:dyDescent="0.2">
      <c r="A540" s="51"/>
      <c r="G540" s="53"/>
      <c r="H540" s="54"/>
    </row>
    <row r="541" spans="1:8" x14ac:dyDescent="0.2">
      <c r="A541" s="51"/>
      <c r="G541" s="53"/>
      <c r="H541" s="54"/>
    </row>
    <row r="542" spans="1:8" x14ac:dyDescent="0.2">
      <c r="A542" s="51"/>
      <c r="G542" s="53"/>
      <c r="H542" s="54"/>
    </row>
    <row r="543" spans="1:8" x14ac:dyDescent="0.2">
      <c r="A543" s="51"/>
      <c r="G543" s="53"/>
      <c r="H543" s="54"/>
    </row>
    <row r="544" spans="1:8" x14ac:dyDescent="0.2">
      <c r="A544" s="51"/>
      <c r="G544" s="53"/>
      <c r="H544" s="54"/>
    </row>
    <row r="545" spans="1:8" x14ac:dyDescent="0.2">
      <c r="A545" s="51"/>
      <c r="G545" s="53"/>
      <c r="H545" s="54"/>
    </row>
    <row r="546" spans="1:8" x14ac:dyDescent="0.2">
      <c r="A546" s="51"/>
      <c r="G546" s="53"/>
      <c r="H546" s="54"/>
    </row>
    <row r="547" spans="1:8" x14ac:dyDescent="0.2">
      <c r="A547" s="51"/>
      <c r="G547" s="53"/>
      <c r="H547" s="54"/>
    </row>
    <row r="548" spans="1:8" x14ac:dyDescent="0.2">
      <c r="A548" s="51"/>
      <c r="G548" s="53"/>
      <c r="H548" s="54"/>
    </row>
    <row r="549" spans="1:8" x14ac:dyDescent="0.2">
      <c r="A549" s="51"/>
      <c r="G549" s="53"/>
      <c r="H549" s="54"/>
    </row>
    <row r="550" spans="1:8" x14ac:dyDescent="0.2">
      <c r="A550" s="51"/>
      <c r="G550" s="53"/>
      <c r="H550" s="54"/>
    </row>
    <row r="551" spans="1:8" x14ac:dyDescent="0.2">
      <c r="A551" s="51"/>
      <c r="G551" s="53"/>
      <c r="H551" s="54"/>
    </row>
    <row r="552" spans="1:8" x14ac:dyDescent="0.2">
      <c r="A552" s="51"/>
      <c r="G552" s="53"/>
      <c r="H552" s="54"/>
    </row>
  </sheetData>
  <sheetProtection selectLockedCells="1"/>
  <protectedRanges>
    <protectedRange sqref="A4:A5 D6:F6 B7 B167:H544 D63:F79 D10:F41 D87:F166 D43:F59 D81:F84 I1:R544 G10:G40 G43:G58 G62:G83 G86:G165" name="Intervalo1"/>
    <protectedRange sqref="D80:F80" name="Intervalo1_1"/>
  </protectedRanges>
  <mergeCells count="16">
    <mergeCell ref="A166:F166"/>
    <mergeCell ref="D7:F7"/>
    <mergeCell ref="A9:F9"/>
    <mergeCell ref="A42:H42"/>
    <mergeCell ref="A60:H60"/>
    <mergeCell ref="A85:H85"/>
    <mergeCell ref="G7:H7"/>
    <mergeCell ref="G8:H8"/>
    <mergeCell ref="D6:F6"/>
    <mergeCell ref="A1:H1"/>
    <mergeCell ref="A3:F3"/>
    <mergeCell ref="A6:B6"/>
    <mergeCell ref="D4:F4"/>
    <mergeCell ref="A2:F2"/>
    <mergeCell ref="G2:H6"/>
    <mergeCell ref="B5:F5"/>
  </mergeCells>
  <dataValidations count="3">
    <dataValidation allowBlank="1" showInputMessage="1" showErrorMessage="1" promptTitle="EXEMPLO:" prompt="A, B, C, D, E..." sqref="D6:E6" xr:uid="{00000000-0002-0000-0000-000000000000}"/>
    <dataValidation allowBlank="1" showInputMessage="1" showErrorMessage="1" promptTitle="EXEMPLO:" prompt="LM-AFL-0001-00" sqref="A4:A5" xr:uid="{00000000-0002-0000-0000-000001000000}"/>
    <dataValidation type="list" allowBlank="1" showInputMessage="1" showErrorMessage="1" sqref="C6" xr:uid="{00000000-0002-0000-0000-000002000000}">
      <formula1>"ROTA:, CELULA:, ÁREA:, BAIRRO:"</formula1>
    </dataValidation>
  </dataValidations>
  <pageMargins left="0.25" right="0.25" top="0.75" bottom="0.75" header="0.3" footer="0.3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80"/>
  <sheetViews>
    <sheetView showGridLines="0" zoomScale="70" zoomScaleNormal="70" workbookViewId="0">
      <selection activeCell="G52" sqref="G52"/>
    </sheetView>
  </sheetViews>
  <sheetFormatPr defaultRowHeight="15" x14ac:dyDescent="0.25"/>
  <cols>
    <col min="2" max="2" width="11.5703125" customWidth="1"/>
    <col min="3" max="3" width="84.5703125" style="21" bestFit="1" customWidth="1"/>
    <col min="4" max="4" width="15.7109375" bestFit="1" customWidth="1"/>
    <col min="5" max="5" width="8.28515625" style="1" customWidth="1"/>
    <col min="6" max="6" width="19.5703125" bestFit="1" customWidth="1"/>
    <col min="7" max="7" width="59.7109375" style="21" customWidth="1"/>
    <col min="8" max="8" width="11" bestFit="1" customWidth="1"/>
    <col min="9" max="9" width="29.28515625" bestFit="1" customWidth="1"/>
    <col min="10" max="10" width="6.42578125" customWidth="1"/>
  </cols>
  <sheetData>
    <row r="2" spans="2:10" x14ac:dyDescent="0.25">
      <c r="B2" s="128" t="s">
        <v>0</v>
      </c>
      <c r="C2" s="128"/>
      <c r="D2" s="128"/>
      <c r="E2" s="128"/>
      <c r="F2" s="128"/>
      <c r="G2" s="128"/>
      <c r="H2" s="128"/>
      <c r="I2" s="128"/>
      <c r="J2" s="128"/>
    </row>
    <row r="3" spans="2:10" ht="28.5" x14ac:dyDescent="0.25">
      <c r="B3" s="127" t="s">
        <v>1</v>
      </c>
      <c r="C3" s="127"/>
      <c r="D3" s="127"/>
      <c r="E3" s="127"/>
      <c r="F3" s="127"/>
      <c r="G3" s="127"/>
      <c r="H3" s="127"/>
      <c r="I3" s="127"/>
      <c r="J3" s="12"/>
    </row>
    <row r="4" spans="2:10" x14ac:dyDescent="0.25">
      <c r="B4" s="2"/>
      <c r="C4" s="27" t="s">
        <v>11</v>
      </c>
      <c r="D4" s="3"/>
      <c r="E4" s="9"/>
      <c r="F4" s="13"/>
      <c r="G4" s="18" t="s">
        <v>199</v>
      </c>
      <c r="H4" s="12"/>
      <c r="I4" s="14" t="s">
        <v>170</v>
      </c>
      <c r="J4" s="15">
        <v>4</v>
      </c>
    </row>
    <row r="5" spans="2:10" x14ac:dyDescent="0.25">
      <c r="B5" s="2"/>
      <c r="C5" s="28" t="s">
        <v>2</v>
      </c>
      <c r="D5" s="3"/>
      <c r="E5" s="10"/>
      <c r="F5" s="4"/>
      <c r="G5" s="19"/>
      <c r="H5" s="5"/>
      <c r="I5" s="14" t="s">
        <v>171</v>
      </c>
      <c r="J5" s="15">
        <v>16</v>
      </c>
    </row>
    <row r="6" spans="2:10" x14ac:dyDescent="0.25">
      <c r="B6" s="2"/>
      <c r="C6" s="29" t="s">
        <v>165</v>
      </c>
      <c r="D6" s="3" t="s">
        <v>169</v>
      </c>
      <c r="E6" s="16">
        <v>10000</v>
      </c>
      <c r="F6" s="4"/>
      <c r="G6" s="20" t="s">
        <v>166</v>
      </c>
      <c r="H6" s="32">
        <v>50</v>
      </c>
      <c r="I6" s="3" t="s">
        <v>167</v>
      </c>
      <c r="J6" s="15" t="s">
        <v>168</v>
      </c>
    </row>
    <row r="7" spans="2:10" s="21" customFormat="1" ht="30" x14ac:dyDescent="0.25">
      <c r="B7" s="22" t="s">
        <v>163</v>
      </c>
      <c r="C7" s="22" t="s">
        <v>3</v>
      </c>
      <c r="D7" s="23" t="s">
        <v>4</v>
      </c>
      <c r="E7" s="24" t="s">
        <v>5</v>
      </c>
      <c r="F7" s="25" t="s">
        <v>172</v>
      </c>
      <c r="G7" s="22" t="s">
        <v>173</v>
      </c>
      <c r="H7" s="22"/>
      <c r="I7" s="26"/>
      <c r="J7" s="26"/>
    </row>
    <row r="8" spans="2:10" x14ac:dyDescent="0.25">
      <c r="B8" s="7" t="s">
        <v>21</v>
      </c>
      <c r="C8" s="30" t="s">
        <v>22</v>
      </c>
      <c r="D8" s="6" t="s">
        <v>164</v>
      </c>
      <c r="E8" s="8">
        <f>0.2*(E6/40)</f>
        <v>50</v>
      </c>
      <c r="F8" s="6">
        <f>1.1*E8</f>
        <v>55.000000000000007</v>
      </c>
      <c r="G8" s="17" t="s">
        <v>176</v>
      </c>
      <c r="H8" s="6"/>
      <c r="I8" s="6"/>
      <c r="J8" s="6"/>
    </row>
    <row r="9" spans="2:10" x14ac:dyDescent="0.25">
      <c r="B9" s="7" t="s">
        <v>23</v>
      </c>
      <c r="C9" s="30" t="s">
        <v>24</v>
      </c>
      <c r="D9" s="6" t="s">
        <v>164</v>
      </c>
      <c r="E9" s="8">
        <f>0.8*(E6/40)</f>
        <v>200</v>
      </c>
      <c r="F9" s="6">
        <f t="shared" ref="F9:F72" si="0">1.1*E9</f>
        <v>220.00000000000003</v>
      </c>
      <c r="G9" s="17" t="s">
        <v>174</v>
      </c>
      <c r="H9" s="6"/>
      <c r="I9" s="6"/>
      <c r="J9" s="6"/>
    </row>
    <row r="10" spans="2:10" x14ac:dyDescent="0.25">
      <c r="B10" s="7" t="s">
        <v>25</v>
      </c>
      <c r="C10" s="30" t="s">
        <v>26</v>
      </c>
      <c r="D10" s="6" t="s">
        <v>164</v>
      </c>
      <c r="E10" s="8">
        <f>J5*H6</f>
        <v>800</v>
      </c>
      <c r="F10" s="6">
        <f t="shared" si="0"/>
        <v>880.00000000000011</v>
      </c>
      <c r="G10" s="17" t="s">
        <v>178</v>
      </c>
      <c r="H10" s="6"/>
      <c r="I10" s="6"/>
      <c r="J10" s="6"/>
    </row>
    <row r="11" spans="2:10" x14ac:dyDescent="0.25">
      <c r="B11" s="7" t="s">
        <v>27</v>
      </c>
      <c r="C11" s="30" t="s">
        <v>28</v>
      </c>
      <c r="D11" s="6" t="s">
        <v>164</v>
      </c>
      <c r="E11" s="8">
        <v>0</v>
      </c>
      <c r="F11" s="6">
        <f t="shared" si="0"/>
        <v>0</v>
      </c>
      <c r="G11" s="17" t="s">
        <v>177</v>
      </c>
      <c r="H11" s="6"/>
      <c r="I11" s="6"/>
      <c r="J11" s="6"/>
    </row>
    <row r="12" spans="2:10" x14ac:dyDescent="0.25">
      <c r="B12" s="7" t="s">
        <v>29</v>
      </c>
      <c r="C12" s="30" t="s">
        <v>30</v>
      </c>
      <c r="D12" s="6" t="s">
        <v>164</v>
      </c>
      <c r="E12" s="8">
        <v>5</v>
      </c>
      <c r="F12" s="6">
        <f t="shared" si="0"/>
        <v>5.5</v>
      </c>
      <c r="G12" s="17" t="s">
        <v>175</v>
      </c>
      <c r="H12" s="6"/>
      <c r="I12" s="6"/>
      <c r="J12" s="6"/>
    </row>
    <row r="13" spans="2:10" x14ac:dyDescent="0.25">
      <c r="B13" s="7" t="s">
        <v>31</v>
      </c>
      <c r="C13" s="30" t="s">
        <v>32</v>
      </c>
      <c r="D13" s="6" t="s">
        <v>164</v>
      </c>
      <c r="E13" s="8">
        <v>0</v>
      </c>
      <c r="F13" s="6">
        <f t="shared" si="0"/>
        <v>0</v>
      </c>
      <c r="G13" s="129" t="s">
        <v>196</v>
      </c>
      <c r="H13" s="6"/>
      <c r="I13" s="6"/>
      <c r="J13" s="6"/>
    </row>
    <row r="14" spans="2:10" x14ac:dyDescent="0.25">
      <c r="B14" s="7" t="s">
        <v>33</v>
      </c>
      <c r="C14" s="30" t="s">
        <v>34</v>
      </c>
      <c r="D14" s="6" t="s">
        <v>164</v>
      </c>
      <c r="E14" s="8">
        <v>0</v>
      </c>
      <c r="F14" s="6">
        <f t="shared" si="0"/>
        <v>0</v>
      </c>
      <c r="G14" s="130"/>
      <c r="H14" s="6"/>
      <c r="I14" s="6"/>
      <c r="J14" s="6"/>
    </row>
    <row r="15" spans="2:10" x14ac:dyDescent="0.25">
      <c r="B15" s="7" t="s">
        <v>35</v>
      </c>
      <c r="C15" s="30" t="s">
        <v>36</v>
      </c>
      <c r="D15" s="6" t="s">
        <v>164</v>
      </c>
      <c r="E15" s="11">
        <f>J6*2</f>
        <v>20</v>
      </c>
      <c r="F15" s="6">
        <f t="shared" si="0"/>
        <v>22</v>
      </c>
      <c r="G15" s="130"/>
      <c r="H15" s="6"/>
      <c r="I15" s="6"/>
      <c r="J15" s="6"/>
    </row>
    <row r="16" spans="2:10" x14ac:dyDescent="0.25">
      <c r="B16" s="7" t="s">
        <v>37</v>
      </c>
      <c r="C16" s="30" t="s">
        <v>38</v>
      </c>
      <c r="D16" s="6" t="s">
        <v>164</v>
      </c>
      <c r="E16" s="8">
        <v>0</v>
      </c>
      <c r="F16" s="6">
        <f t="shared" si="0"/>
        <v>0</v>
      </c>
      <c r="G16" s="130"/>
      <c r="H16" s="6"/>
      <c r="I16" s="6"/>
      <c r="J16" s="6"/>
    </row>
    <row r="17" spans="2:10" x14ac:dyDescent="0.25">
      <c r="B17" s="7" t="s">
        <v>39</v>
      </c>
      <c r="C17" s="30" t="s">
        <v>40</v>
      </c>
      <c r="D17" s="6" t="s">
        <v>164</v>
      </c>
      <c r="E17" s="8">
        <v>0</v>
      </c>
      <c r="F17" s="6">
        <f t="shared" si="0"/>
        <v>0</v>
      </c>
      <c r="G17" s="130"/>
      <c r="H17" s="6"/>
      <c r="I17" s="6"/>
      <c r="J17" s="6"/>
    </row>
    <row r="18" spans="2:10" x14ac:dyDescent="0.25">
      <c r="B18" s="7" t="s">
        <v>41</v>
      </c>
      <c r="C18" s="30" t="s">
        <v>42</v>
      </c>
      <c r="D18" s="6" t="s">
        <v>164</v>
      </c>
      <c r="E18" s="8">
        <v>0</v>
      </c>
      <c r="F18" s="6">
        <f t="shared" si="0"/>
        <v>0</v>
      </c>
      <c r="G18" s="130"/>
      <c r="H18" s="6"/>
      <c r="I18" s="6"/>
      <c r="J18" s="6"/>
    </row>
    <row r="19" spans="2:10" x14ac:dyDescent="0.25">
      <c r="B19" s="7" t="s">
        <v>43</v>
      </c>
      <c r="C19" s="30" t="s">
        <v>44</v>
      </c>
      <c r="D19" s="6" t="s">
        <v>164</v>
      </c>
      <c r="E19" s="8">
        <v>0</v>
      </c>
      <c r="F19" s="6">
        <f t="shared" si="0"/>
        <v>0</v>
      </c>
      <c r="G19" s="130"/>
      <c r="H19" s="6"/>
      <c r="I19" s="6"/>
      <c r="J19" s="6"/>
    </row>
    <row r="20" spans="2:10" x14ac:dyDescent="0.25">
      <c r="B20" s="7" t="s">
        <v>45</v>
      </c>
      <c r="C20" s="30" t="s">
        <v>46</v>
      </c>
      <c r="D20" s="6" t="s">
        <v>164</v>
      </c>
      <c r="E20" s="8">
        <v>0</v>
      </c>
      <c r="F20" s="6">
        <f t="shared" si="0"/>
        <v>0</v>
      </c>
      <c r="G20" s="131"/>
      <c r="H20" s="6"/>
      <c r="I20" s="6"/>
      <c r="J20" s="6"/>
    </row>
    <row r="21" spans="2:10" x14ac:dyDescent="0.25">
      <c r="B21" s="7" t="s">
        <v>47</v>
      </c>
      <c r="C21" s="30" t="s">
        <v>14</v>
      </c>
      <c r="D21" s="6" t="s">
        <v>164</v>
      </c>
      <c r="E21" s="8">
        <f>H6*5</f>
        <v>250</v>
      </c>
      <c r="F21" s="6">
        <f t="shared" si="0"/>
        <v>275</v>
      </c>
      <c r="G21" s="17" t="s">
        <v>180</v>
      </c>
      <c r="H21" s="6"/>
      <c r="I21" s="6"/>
      <c r="J21" s="6"/>
    </row>
    <row r="22" spans="2:10" x14ac:dyDescent="0.25">
      <c r="B22" s="7" t="s">
        <v>48</v>
      </c>
      <c r="C22" s="30" t="s">
        <v>49</v>
      </c>
      <c r="D22" s="6" t="s">
        <v>164</v>
      </c>
      <c r="E22" s="8">
        <v>5</v>
      </c>
      <c r="F22" s="6">
        <f t="shared" si="0"/>
        <v>5.5</v>
      </c>
      <c r="G22" s="17" t="s">
        <v>179</v>
      </c>
      <c r="H22" s="6"/>
      <c r="I22" s="6"/>
      <c r="J22" s="6"/>
    </row>
    <row r="23" spans="2:10" x14ac:dyDescent="0.25">
      <c r="B23" s="7" t="s">
        <v>50</v>
      </c>
      <c r="C23" s="30" t="s">
        <v>51</v>
      </c>
      <c r="D23" s="6" t="s">
        <v>164</v>
      </c>
      <c r="E23" s="8">
        <v>0</v>
      </c>
      <c r="F23" s="6">
        <f t="shared" si="0"/>
        <v>0</v>
      </c>
      <c r="G23" s="17"/>
      <c r="H23" s="6"/>
      <c r="I23" s="6"/>
      <c r="J23" s="6"/>
    </row>
    <row r="24" spans="2:10" x14ac:dyDescent="0.25">
      <c r="B24" s="7" t="s">
        <v>52</v>
      </c>
      <c r="C24" s="30" t="s">
        <v>53</v>
      </c>
      <c r="D24" s="6" t="s">
        <v>9</v>
      </c>
      <c r="E24" s="11">
        <f>J6*40</f>
        <v>400</v>
      </c>
      <c r="F24" s="6">
        <f t="shared" si="0"/>
        <v>440.00000000000006</v>
      </c>
      <c r="G24" s="17" t="s">
        <v>192</v>
      </c>
      <c r="H24" s="6"/>
      <c r="I24" s="6"/>
      <c r="J24" s="6"/>
    </row>
    <row r="25" spans="2:10" x14ac:dyDescent="0.25">
      <c r="B25" s="7" t="s">
        <v>54</v>
      </c>
      <c r="C25" s="30" t="s">
        <v>55</v>
      </c>
      <c r="D25" s="6" t="s">
        <v>164</v>
      </c>
      <c r="E25" s="8">
        <v>0</v>
      </c>
      <c r="F25" s="6">
        <f t="shared" si="0"/>
        <v>0</v>
      </c>
      <c r="G25" s="124" t="s">
        <v>181</v>
      </c>
      <c r="H25" s="6"/>
      <c r="I25" s="6"/>
      <c r="J25" s="6"/>
    </row>
    <row r="26" spans="2:10" x14ac:dyDescent="0.25">
      <c r="B26" s="7" t="s">
        <v>56</v>
      </c>
      <c r="C26" s="30" t="s">
        <v>57</v>
      </c>
      <c r="D26" s="6" t="s">
        <v>164</v>
      </c>
      <c r="E26" s="8">
        <v>0</v>
      </c>
      <c r="F26" s="6">
        <f t="shared" si="0"/>
        <v>0</v>
      </c>
      <c r="G26" s="125"/>
      <c r="H26" s="6"/>
      <c r="I26" s="6"/>
      <c r="J26" s="6"/>
    </row>
    <row r="27" spans="2:10" x14ac:dyDescent="0.25">
      <c r="B27" s="7" t="s">
        <v>58</v>
      </c>
      <c r="C27" s="30" t="s">
        <v>59</v>
      </c>
      <c r="D27" s="6" t="s">
        <v>164</v>
      </c>
      <c r="E27" s="8">
        <v>0</v>
      </c>
      <c r="F27" s="6">
        <f t="shared" si="0"/>
        <v>0</v>
      </c>
      <c r="G27" s="125"/>
      <c r="H27" s="6"/>
      <c r="I27" s="6"/>
      <c r="J27" s="6"/>
    </row>
    <row r="28" spans="2:10" x14ac:dyDescent="0.25">
      <c r="B28" s="7" t="s">
        <v>60</v>
      </c>
      <c r="C28" s="30" t="s">
        <v>61</v>
      </c>
      <c r="D28" s="6" t="s">
        <v>164</v>
      </c>
      <c r="E28" s="8">
        <v>0</v>
      </c>
      <c r="F28" s="6">
        <f t="shared" si="0"/>
        <v>0</v>
      </c>
      <c r="G28" s="125"/>
      <c r="H28" s="6"/>
      <c r="I28" s="6"/>
      <c r="J28" s="6"/>
    </row>
    <row r="29" spans="2:10" x14ac:dyDescent="0.25">
      <c r="B29" s="7" t="s">
        <v>62</v>
      </c>
      <c r="C29" s="30" t="s">
        <v>63</v>
      </c>
      <c r="D29" s="6" t="s">
        <v>164</v>
      </c>
      <c r="E29" s="8">
        <v>0</v>
      </c>
      <c r="F29" s="6">
        <f t="shared" si="0"/>
        <v>0</v>
      </c>
      <c r="G29" s="125"/>
      <c r="H29" s="6"/>
      <c r="I29" s="6"/>
      <c r="J29" s="6"/>
    </row>
    <row r="30" spans="2:10" x14ac:dyDescent="0.25">
      <c r="B30" s="7" t="s">
        <v>64</v>
      </c>
      <c r="C30" s="30" t="s">
        <v>65</v>
      </c>
      <c r="D30" s="6" t="s">
        <v>164</v>
      </c>
      <c r="E30" s="8">
        <v>850</v>
      </c>
      <c r="F30" s="6">
        <f t="shared" si="0"/>
        <v>935.00000000000011</v>
      </c>
      <c r="G30" s="125"/>
      <c r="H30" s="6"/>
      <c r="I30" s="6"/>
      <c r="J30" s="6"/>
    </row>
    <row r="31" spans="2:10" x14ac:dyDescent="0.25">
      <c r="B31" s="7" t="s">
        <v>66</v>
      </c>
      <c r="C31" s="30" t="s">
        <v>67</v>
      </c>
      <c r="D31" s="6" t="s">
        <v>164</v>
      </c>
      <c r="E31" s="8">
        <v>0</v>
      </c>
      <c r="F31" s="6">
        <f t="shared" si="0"/>
        <v>0</v>
      </c>
      <c r="G31" s="125"/>
      <c r="H31" s="6"/>
      <c r="I31" s="6"/>
      <c r="J31" s="6"/>
    </row>
    <row r="32" spans="2:10" x14ac:dyDescent="0.25">
      <c r="B32" s="7" t="s">
        <v>68</v>
      </c>
      <c r="C32" s="30" t="s">
        <v>69</v>
      </c>
      <c r="D32" s="6" t="s">
        <v>164</v>
      </c>
      <c r="E32" s="8">
        <v>150</v>
      </c>
      <c r="F32" s="6">
        <f t="shared" si="0"/>
        <v>165</v>
      </c>
      <c r="G32" s="125"/>
      <c r="H32" s="6"/>
      <c r="I32" s="6"/>
      <c r="J32" s="6"/>
    </row>
    <row r="33" spans="2:10" x14ac:dyDescent="0.25">
      <c r="B33" s="7" t="s">
        <v>70</v>
      </c>
      <c r="C33" s="30" t="s">
        <v>71</v>
      </c>
      <c r="D33" s="6" t="s">
        <v>164</v>
      </c>
      <c r="E33" s="8">
        <v>1000</v>
      </c>
      <c r="F33" s="6">
        <f t="shared" si="0"/>
        <v>1100</v>
      </c>
      <c r="G33" s="125"/>
      <c r="H33" s="6"/>
      <c r="I33" s="6"/>
      <c r="J33" s="6"/>
    </row>
    <row r="34" spans="2:10" x14ac:dyDescent="0.25">
      <c r="B34" s="7" t="s">
        <v>72</v>
      </c>
      <c r="C34" s="30" t="s">
        <v>73</v>
      </c>
      <c r="D34" s="6" t="s">
        <v>164</v>
      </c>
      <c r="E34" s="8">
        <v>0</v>
      </c>
      <c r="F34" s="6">
        <f t="shared" si="0"/>
        <v>0</v>
      </c>
      <c r="G34" s="125"/>
      <c r="H34" s="6"/>
      <c r="I34" s="6"/>
      <c r="J34" s="6"/>
    </row>
    <row r="35" spans="2:10" x14ac:dyDescent="0.25">
      <c r="B35" s="7" t="s">
        <v>74</v>
      </c>
      <c r="C35" s="30" t="s">
        <v>75</v>
      </c>
      <c r="D35" s="6" t="s">
        <v>164</v>
      </c>
      <c r="E35" s="8">
        <v>6000</v>
      </c>
      <c r="F35" s="6">
        <f t="shared" si="0"/>
        <v>6600.0000000000009</v>
      </c>
      <c r="G35" s="125"/>
      <c r="H35" s="6"/>
      <c r="I35" s="6"/>
      <c r="J35" s="6"/>
    </row>
    <row r="36" spans="2:10" x14ac:dyDescent="0.25">
      <c r="B36" s="7" t="s">
        <v>76</v>
      </c>
      <c r="C36" s="30" t="s">
        <v>77</v>
      </c>
      <c r="D36" s="6" t="s">
        <v>164</v>
      </c>
      <c r="E36" s="8">
        <v>2000</v>
      </c>
      <c r="F36" s="6">
        <f t="shared" si="0"/>
        <v>2200</v>
      </c>
      <c r="G36" s="125"/>
      <c r="H36" s="6"/>
      <c r="I36" s="6"/>
      <c r="J36" s="6"/>
    </row>
    <row r="37" spans="2:10" x14ac:dyDescent="0.25">
      <c r="B37" s="7" t="s">
        <v>78</v>
      </c>
      <c r="C37" s="30" t="s">
        <v>79</v>
      </c>
      <c r="D37" s="6" t="s">
        <v>164</v>
      </c>
      <c r="E37" s="8">
        <v>0</v>
      </c>
      <c r="F37" s="6">
        <f t="shared" si="0"/>
        <v>0</v>
      </c>
      <c r="G37" s="125"/>
      <c r="H37" s="6"/>
      <c r="I37" s="6"/>
      <c r="J37" s="6"/>
    </row>
    <row r="38" spans="2:10" x14ac:dyDescent="0.25">
      <c r="B38" s="7" t="s">
        <v>80</v>
      </c>
      <c r="C38" s="30" t="s">
        <v>81</v>
      </c>
      <c r="D38" s="6" t="s">
        <v>164</v>
      </c>
      <c r="E38" s="8">
        <v>0</v>
      </c>
      <c r="F38" s="6">
        <f t="shared" si="0"/>
        <v>0</v>
      </c>
      <c r="G38" s="126"/>
      <c r="H38" s="6"/>
      <c r="I38" s="6"/>
      <c r="J38" s="6"/>
    </row>
    <row r="39" spans="2:10" x14ac:dyDescent="0.25">
      <c r="B39" s="7" t="s">
        <v>82</v>
      </c>
      <c r="C39" s="30" t="s">
        <v>83</v>
      </c>
      <c r="D39" s="6" t="s">
        <v>164</v>
      </c>
      <c r="E39" s="8">
        <v>0</v>
      </c>
      <c r="F39" s="6">
        <f t="shared" si="0"/>
        <v>0</v>
      </c>
      <c r="G39" s="17"/>
      <c r="H39" s="6"/>
      <c r="I39" s="6"/>
      <c r="J39" s="6"/>
    </row>
    <row r="40" spans="2:10" x14ac:dyDescent="0.25">
      <c r="B40" s="7" t="s">
        <v>84</v>
      </c>
      <c r="C40" s="30" t="s">
        <v>85</v>
      </c>
      <c r="D40" s="6" t="s">
        <v>164</v>
      </c>
      <c r="E40" s="11" t="str">
        <f>J6</f>
        <v>10</v>
      </c>
      <c r="F40" s="6">
        <f t="shared" si="0"/>
        <v>11</v>
      </c>
      <c r="G40" s="17"/>
      <c r="H40" s="6"/>
      <c r="I40" s="6"/>
      <c r="J40" s="6"/>
    </row>
    <row r="41" spans="2:10" x14ac:dyDescent="0.25">
      <c r="B41" s="7" t="s">
        <v>86</v>
      </c>
      <c r="C41" s="30" t="s">
        <v>87</v>
      </c>
      <c r="D41" s="6" t="s">
        <v>164</v>
      </c>
      <c r="E41" s="8">
        <v>0</v>
      </c>
      <c r="F41" s="6">
        <f t="shared" si="0"/>
        <v>0</v>
      </c>
      <c r="G41" s="17"/>
      <c r="H41" s="6"/>
      <c r="I41" s="6"/>
      <c r="J41" s="6"/>
    </row>
    <row r="42" spans="2:10" x14ac:dyDescent="0.25">
      <c r="B42" s="7" t="s">
        <v>88</v>
      </c>
      <c r="C42" s="30" t="s">
        <v>89</v>
      </c>
      <c r="D42" s="6" t="s">
        <v>164</v>
      </c>
      <c r="E42" s="8">
        <f>H6</f>
        <v>50</v>
      </c>
      <c r="F42" s="6">
        <f t="shared" si="0"/>
        <v>55.000000000000007</v>
      </c>
      <c r="G42" s="17"/>
      <c r="H42" s="6"/>
      <c r="I42" s="6"/>
      <c r="J42" s="6"/>
    </row>
    <row r="43" spans="2:10" x14ac:dyDescent="0.25">
      <c r="B43" s="7" t="s">
        <v>90</v>
      </c>
      <c r="C43" s="30" t="s">
        <v>91</v>
      </c>
      <c r="D43" s="6" t="s">
        <v>164</v>
      </c>
      <c r="E43" s="8">
        <v>0</v>
      </c>
      <c r="F43" s="6">
        <f t="shared" si="0"/>
        <v>0</v>
      </c>
      <c r="G43" s="17" t="s">
        <v>182</v>
      </c>
      <c r="H43" s="6"/>
      <c r="I43" s="6"/>
      <c r="J43" s="6"/>
    </row>
    <row r="44" spans="2:10" x14ac:dyDescent="0.25">
      <c r="B44" s="7" t="s">
        <v>92</v>
      </c>
      <c r="C44" s="30" t="s">
        <v>93</v>
      </c>
      <c r="D44" s="6" t="s">
        <v>164</v>
      </c>
      <c r="E44" s="8">
        <v>0</v>
      </c>
      <c r="F44" s="6">
        <f t="shared" si="0"/>
        <v>0</v>
      </c>
      <c r="G44" s="17"/>
      <c r="H44" s="6"/>
      <c r="I44" s="6"/>
      <c r="J44" s="6"/>
    </row>
    <row r="45" spans="2:10" x14ac:dyDescent="0.25">
      <c r="B45" s="7" t="s">
        <v>94</v>
      </c>
      <c r="C45" s="30" t="s">
        <v>95</v>
      </c>
      <c r="D45" s="6" t="s">
        <v>164</v>
      </c>
      <c r="E45" s="8">
        <f>H6*3</f>
        <v>150</v>
      </c>
      <c r="F45" s="6">
        <f t="shared" si="0"/>
        <v>165</v>
      </c>
      <c r="G45" s="17" t="s">
        <v>183</v>
      </c>
      <c r="H45" s="6"/>
      <c r="I45" s="6"/>
      <c r="J45" s="6"/>
    </row>
    <row r="46" spans="2:10" x14ac:dyDescent="0.25">
      <c r="B46" s="7" t="s">
        <v>96</v>
      </c>
      <c r="C46" s="30" t="s">
        <v>97</v>
      </c>
      <c r="D46" s="6" t="s">
        <v>9</v>
      </c>
      <c r="E46" s="8">
        <f>3*1.2*H6</f>
        <v>179.99999999999997</v>
      </c>
      <c r="F46" s="6">
        <f t="shared" si="0"/>
        <v>197.99999999999997</v>
      </c>
      <c r="G46" s="17" t="s">
        <v>194</v>
      </c>
      <c r="H46" s="6"/>
      <c r="I46" s="6"/>
      <c r="J46" s="6"/>
    </row>
    <row r="47" spans="2:10" x14ac:dyDescent="0.25">
      <c r="B47" s="7" t="s">
        <v>98</v>
      </c>
      <c r="C47" s="30" t="s">
        <v>99</v>
      </c>
      <c r="D47" s="6" t="s">
        <v>164</v>
      </c>
      <c r="E47" s="8">
        <v>0</v>
      </c>
      <c r="F47" s="6">
        <f t="shared" si="0"/>
        <v>0</v>
      </c>
      <c r="G47" s="17"/>
      <c r="H47" s="6"/>
      <c r="I47" s="6"/>
      <c r="J47" s="6"/>
    </row>
    <row r="48" spans="2:10" ht="26.25" x14ac:dyDescent="0.25">
      <c r="B48" s="7" t="s">
        <v>100</v>
      </c>
      <c r="C48" s="30" t="s">
        <v>101</v>
      </c>
      <c r="D48" s="6" t="s">
        <v>164</v>
      </c>
      <c r="E48" s="11">
        <f>5*J6</f>
        <v>50</v>
      </c>
      <c r="F48" s="6">
        <f t="shared" si="0"/>
        <v>55.000000000000007</v>
      </c>
      <c r="G48" s="17" t="s">
        <v>184</v>
      </c>
      <c r="H48" s="6"/>
      <c r="I48" s="6"/>
      <c r="J48" s="6"/>
    </row>
    <row r="49" spans="2:10" x14ac:dyDescent="0.25">
      <c r="B49" s="7" t="s">
        <v>102</v>
      </c>
      <c r="C49" s="30" t="s">
        <v>103</v>
      </c>
      <c r="D49" s="6" t="s">
        <v>164</v>
      </c>
      <c r="E49" s="8">
        <v>2</v>
      </c>
      <c r="F49" s="6">
        <f t="shared" si="0"/>
        <v>2.2000000000000002</v>
      </c>
      <c r="G49" s="17" t="s">
        <v>185</v>
      </c>
      <c r="H49" s="6"/>
      <c r="I49" s="6"/>
      <c r="J49" s="6"/>
    </row>
    <row r="50" spans="2:10" x14ac:dyDescent="0.25">
      <c r="B50" s="7" t="s">
        <v>104</v>
      </c>
      <c r="C50" s="30" t="s">
        <v>105</v>
      </c>
      <c r="D50" s="6" t="s">
        <v>164</v>
      </c>
      <c r="E50" s="8">
        <v>0</v>
      </c>
      <c r="F50" s="6">
        <f t="shared" si="0"/>
        <v>0</v>
      </c>
      <c r="G50" s="17"/>
      <c r="H50" s="6"/>
      <c r="I50" s="6"/>
      <c r="J50" s="6"/>
    </row>
    <row r="51" spans="2:10" x14ac:dyDescent="0.25">
      <c r="B51" s="7" t="s">
        <v>106</v>
      </c>
      <c r="C51" s="30" t="s">
        <v>107</v>
      </c>
      <c r="D51" s="6" t="s">
        <v>164</v>
      </c>
      <c r="E51" s="8">
        <v>0</v>
      </c>
      <c r="F51" s="6">
        <f t="shared" si="0"/>
        <v>0</v>
      </c>
      <c r="G51" s="17"/>
      <c r="H51" s="6"/>
      <c r="I51" s="6"/>
      <c r="J51" s="6"/>
    </row>
    <row r="52" spans="2:10" ht="26.25" x14ac:dyDescent="0.25">
      <c r="B52" s="7" t="s">
        <v>108</v>
      </c>
      <c r="C52" s="30" t="s">
        <v>109</v>
      </c>
      <c r="D52" s="6" t="s">
        <v>164</v>
      </c>
      <c r="E52" s="8">
        <v>0</v>
      </c>
      <c r="F52" s="6">
        <f t="shared" si="0"/>
        <v>0</v>
      </c>
      <c r="G52" s="17" t="s">
        <v>186</v>
      </c>
      <c r="H52" s="6"/>
      <c r="I52" s="6"/>
      <c r="J52" s="6"/>
    </row>
    <row r="53" spans="2:10" ht="26.25" x14ac:dyDescent="0.25">
      <c r="B53" s="7" t="s">
        <v>110</v>
      </c>
      <c r="C53" s="30" t="s">
        <v>111</v>
      </c>
      <c r="D53" s="6" t="s">
        <v>164</v>
      </c>
      <c r="E53" s="8">
        <v>0</v>
      </c>
      <c r="F53" s="6">
        <f t="shared" si="0"/>
        <v>0</v>
      </c>
      <c r="G53" s="17" t="s">
        <v>187</v>
      </c>
      <c r="H53" s="6"/>
      <c r="I53" s="6"/>
      <c r="J53" s="6"/>
    </row>
    <row r="54" spans="2:10" x14ac:dyDescent="0.25">
      <c r="B54" s="7" t="s">
        <v>112</v>
      </c>
      <c r="C54" s="30" t="s">
        <v>113</v>
      </c>
      <c r="D54" s="6" t="s">
        <v>164</v>
      </c>
      <c r="E54" s="8">
        <v>0</v>
      </c>
      <c r="F54" s="6">
        <f t="shared" si="0"/>
        <v>0</v>
      </c>
      <c r="G54" s="17" t="s">
        <v>188</v>
      </c>
      <c r="H54" s="6"/>
      <c r="I54" s="6"/>
      <c r="J54" s="6"/>
    </row>
    <row r="55" spans="2:10" ht="26.25" x14ac:dyDescent="0.25">
      <c r="B55" s="7" t="s">
        <v>114</v>
      </c>
      <c r="C55" s="30" t="s">
        <v>115</v>
      </c>
      <c r="D55" s="6" t="s">
        <v>164</v>
      </c>
      <c r="E55" s="8">
        <f>E72+E73</f>
        <v>100</v>
      </c>
      <c r="F55" s="6">
        <f t="shared" si="0"/>
        <v>110.00000000000001</v>
      </c>
      <c r="G55" s="17" t="s">
        <v>198</v>
      </c>
      <c r="H55" s="6"/>
      <c r="I55" s="6"/>
      <c r="J55" s="6"/>
    </row>
    <row r="56" spans="2:10" x14ac:dyDescent="0.25">
      <c r="B56" s="7" t="s">
        <v>116</v>
      </c>
      <c r="C56" s="30" t="s">
        <v>117</v>
      </c>
      <c r="D56" s="6" t="s">
        <v>164</v>
      </c>
      <c r="E56" s="11">
        <f>J6*2+(E6/40)*5*2</f>
        <v>2520</v>
      </c>
      <c r="F56" s="6">
        <f t="shared" si="0"/>
        <v>2772</v>
      </c>
      <c r="G56" s="17"/>
      <c r="H56" s="6"/>
      <c r="I56" s="6"/>
      <c r="J56" s="6"/>
    </row>
    <row r="57" spans="2:10" x14ac:dyDescent="0.25">
      <c r="B57" s="7" t="s">
        <v>118</v>
      </c>
      <c r="C57" s="30" t="s">
        <v>119</v>
      </c>
      <c r="D57" s="6" t="s">
        <v>164</v>
      </c>
      <c r="E57" s="8">
        <v>0</v>
      </c>
      <c r="F57" s="6">
        <f t="shared" si="0"/>
        <v>0</v>
      </c>
      <c r="G57" s="17"/>
      <c r="H57" s="6"/>
      <c r="I57" s="6"/>
      <c r="J57" s="6"/>
    </row>
    <row r="58" spans="2:10" x14ac:dyDescent="0.25">
      <c r="B58" s="7" t="s">
        <v>120</v>
      </c>
      <c r="C58" s="30" t="s">
        <v>121</v>
      </c>
      <c r="D58" s="6" t="s">
        <v>164</v>
      </c>
      <c r="E58" s="11">
        <f>2*J6</f>
        <v>20</v>
      </c>
      <c r="F58" s="6">
        <f t="shared" si="0"/>
        <v>22</v>
      </c>
      <c r="G58" s="17" t="s">
        <v>197</v>
      </c>
      <c r="H58" s="6"/>
      <c r="I58" s="6"/>
      <c r="J58" s="6"/>
    </row>
    <row r="59" spans="2:10" ht="26.25" x14ac:dyDescent="0.25">
      <c r="B59" s="7" t="s">
        <v>122</v>
      </c>
      <c r="C59" s="30" t="s">
        <v>123</v>
      </c>
      <c r="D59" s="6" t="s">
        <v>164</v>
      </c>
      <c r="E59" s="11">
        <f>J6*2</f>
        <v>20</v>
      </c>
      <c r="F59" s="6">
        <f t="shared" si="0"/>
        <v>22</v>
      </c>
      <c r="G59" s="17" t="s">
        <v>193</v>
      </c>
      <c r="H59" s="6"/>
      <c r="I59" s="6"/>
      <c r="J59" s="6"/>
    </row>
    <row r="60" spans="2:10" x14ac:dyDescent="0.25">
      <c r="B60" s="7" t="s">
        <v>124</v>
      </c>
      <c r="C60" s="30" t="s">
        <v>125</v>
      </c>
      <c r="D60" s="6" t="s">
        <v>164</v>
      </c>
      <c r="E60" s="8">
        <f>H6</f>
        <v>50</v>
      </c>
      <c r="F60" s="6">
        <f t="shared" si="0"/>
        <v>55.000000000000007</v>
      </c>
      <c r="G60" s="17"/>
      <c r="H60" s="6"/>
      <c r="I60" s="6"/>
      <c r="J60" s="6"/>
    </row>
    <row r="61" spans="2:10" x14ac:dyDescent="0.25">
      <c r="B61" s="7" t="s">
        <v>126</v>
      </c>
      <c r="C61" s="30" t="s">
        <v>127</v>
      </c>
      <c r="D61" s="6" t="s">
        <v>164</v>
      </c>
      <c r="E61" s="8">
        <v>0</v>
      </c>
      <c r="F61" s="6">
        <f t="shared" si="0"/>
        <v>0</v>
      </c>
      <c r="G61" s="17"/>
      <c r="H61" s="6"/>
      <c r="I61" s="6"/>
      <c r="J61" s="6"/>
    </row>
    <row r="62" spans="2:10" x14ac:dyDescent="0.25">
      <c r="B62" s="7" t="s">
        <v>128</v>
      </c>
      <c r="C62" s="30" t="s">
        <v>129</v>
      </c>
      <c r="D62" s="6" t="s">
        <v>164</v>
      </c>
      <c r="E62" s="8">
        <v>0</v>
      </c>
      <c r="F62" s="6">
        <f t="shared" si="0"/>
        <v>0</v>
      </c>
      <c r="G62" s="17"/>
      <c r="H62" s="6"/>
      <c r="I62" s="6"/>
      <c r="J62" s="6"/>
    </row>
    <row r="63" spans="2:10" x14ac:dyDescent="0.25">
      <c r="B63" s="7" t="s">
        <v>130</v>
      </c>
      <c r="C63" s="30" t="s">
        <v>131</v>
      </c>
      <c r="D63" s="6" t="s">
        <v>164</v>
      </c>
      <c r="E63" s="8">
        <v>0</v>
      </c>
      <c r="F63" s="6">
        <f t="shared" si="0"/>
        <v>0</v>
      </c>
      <c r="G63" s="17"/>
      <c r="H63" s="6"/>
      <c r="I63" s="6"/>
      <c r="J63" s="6"/>
    </row>
    <row r="64" spans="2:10" x14ac:dyDescent="0.25">
      <c r="B64" s="7" t="s">
        <v>132</v>
      </c>
      <c r="C64" s="30" t="s">
        <v>133</v>
      </c>
      <c r="D64" s="6" t="s">
        <v>164</v>
      </c>
      <c r="E64" s="8">
        <v>0</v>
      </c>
      <c r="F64" s="6">
        <f t="shared" si="0"/>
        <v>0</v>
      </c>
      <c r="G64" s="17"/>
      <c r="H64" s="6"/>
      <c r="I64" s="6"/>
      <c r="J64" s="6"/>
    </row>
    <row r="65" spans="2:10" x14ac:dyDescent="0.25">
      <c r="B65" s="7" t="s">
        <v>134</v>
      </c>
      <c r="C65" s="30" t="s">
        <v>135</v>
      </c>
      <c r="D65" s="6" t="s">
        <v>164</v>
      </c>
      <c r="E65" s="8">
        <v>0</v>
      </c>
      <c r="F65" s="6">
        <f t="shared" si="0"/>
        <v>0</v>
      </c>
      <c r="G65" s="17"/>
      <c r="H65" s="6"/>
      <c r="I65" s="6"/>
      <c r="J65" s="6"/>
    </row>
    <row r="66" spans="2:10" x14ac:dyDescent="0.25">
      <c r="B66" s="7" t="s">
        <v>136</v>
      </c>
      <c r="C66" s="30" t="s">
        <v>137</v>
      </c>
      <c r="D66" s="6" t="s">
        <v>164</v>
      </c>
      <c r="E66" s="8">
        <v>0</v>
      </c>
      <c r="F66" s="6">
        <f t="shared" si="0"/>
        <v>0</v>
      </c>
      <c r="G66" s="17"/>
      <c r="H66" s="6"/>
      <c r="I66" s="6"/>
      <c r="J66" s="6"/>
    </row>
    <row r="67" spans="2:10" x14ac:dyDescent="0.25">
      <c r="B67" s="7" t="s">
        <v>138</v>
      </c>
      <c r="C67" s="30" t="s">
        <v>139</v>
      </c>
      <c r="D67" s="6" t="s">
        <v>164</v>
      </c>
      <c r="E67" s="8">
        <f>E60/4</f>
        <v>12.5</v>
      </c>
      <c r="F67" s="6">
        <f t="shared" si="0"/>
        <v>13.750000000000002</v>
      </c>
      <c r="G67" s="17"/>
      <c r="H67" s="6"/>
      <c r="I67" s="6"/>
      <c r="J67" s="6"/>
    </row>
    <row r="68" spans="2:10" x14ac:dyDescent="0.25">
      <c r="B68" s="7" t="s">
        <v>140</v>
      </c>
      <c r="C68" s="30" t="s">
        <v>141</v>
      </c>
      <c r="D68" s="6" t="s">
        <v>164</v>
      </c>
      <c r="E68" s="8">
        <v>0</v>
      </c>
      <c r="F68" s="6">
        <f t="shared" si="0"/>
        <v>0</v>
      </c>
      <c r="G68" s="17"/>
      <c r="H68" s="6"/>
      <c r="I68" s="6"/>
      <c r="J68" s="6"/>
    </row>
    <row r="69" spans="2:10" x14ac:dyDescent="0.25">
      <c r="B69" s="7" t="s">
        <v>142</v>
      </c>
      <c r="C69" s="30" t="s">
        <v>143</v>
      </c>
      <c r="D69" s="6" t="s">
        <v>164</v>
      </c>
      <c r="E69" s="8">
        <v>0</v>
      </c>
      <c r="F69" s="6">
        <f t="shared" si="0"/>
        <v>0</v>
      </c>
      <c r="G69" s="17"/>
      <c r="H69" s="6"/>
      <c r="I69" s="6"/>
      <c r="J69" s="6"/>
    </row>
    <row r="70" spans="2:10" x14ac:dyDescent="0.25">
      <c r="B70" s="7" t="s">
        <v>144</v>
      </c>
      <c r="C70" s="30" t="s">
        <v>145</v>
      </c>
      <c r="D70" s="6" t="s">
        <v>164</v>
      </c>
      <c r="E70" s="8">
        <v>0</v>
      </c>
      <c r="F70" s="6">
        <f t="shared" si="0"/>
        <v>0</v>
      </c>
      <c r="G70" s="17"/>
      <c r="H70" s="6"/>
      <c r="I70" s="6"/>
      <c r="J70" s="6"/>
    </row>
    <row r="71" spans="2:10" ht="77.25" customHeight="1" x14ac:dyDescent="0.25">
      <c r="B71" s="7" t="s">
        <v>146</v>
      </c>
      <c r="C71" s="31" t="s">
        <v>147</v>
      </c>
      <c r="D71" s="6" t="s">
        <v>164</v>
      </c>
      <c r="E71" s="8">
        <f>(E8+E9)*0.6</f>
        <v>150</v>
      </c>
      <c r="F71" s="6">
        <f t="shared" si="0"/>
        <v>165</v>
      </c>
      <c r="G71" s="124" t="s">
        <v>189</v>
      </c>
      <c r="H71" s="6"/>
      <c r="I71" s="6"/>
      <c r="J71" s="6"/>
    </row>
    <row r="72" spans="2:10" x14ac:dyDescent="0.25">
      <c r="B72" s="7" t="s">
        <v>148</v>
      </c>
      <c r="C72" s="30" t="s">
        <v>13</v>
      </c>
      <c r="D72" s="6" t="s">
        <v>164</v>
      </c>
      <c r="E72" s="8">
        <f>(E8+E9)*0.15</f>
        <v>37.5</v>
      </c>
      <c r="F72" s="6">
        <f t="shared" si="0"/>
        <v>41.25</v>
      </c>
      <c r="G72" s="125"/>
      <c r="H72" s="6"/>
      <c r="I72" s="6"/>
      <c r="J72" s="6"/>
    </row>
    <row r="73" spans="2:10" x14ac:dyDescent="0.25">
      <c r="B73" s="7" t="s">
        <v>149</v>
      </c>
      <c r="C73" s="30" t="s">
        <v>8</v>
      </c>
      <c r="D73" s="6" t="s">
        <v>164</v>
      </c>
      <c r="E73" s="8">
        <f>(E8+E9)*0.25</f>
        <v>62.5</v>
      </c>
      <c r="F73" s="6">
        <f t="shared" ref="F73:F80" si="1">1.1*E73</f>
        <v>68.75</v>
      </c>
      <c r="G73" s="126"/>
      <c r="H73" s="6"/>
      <c r="I73" s="6"/>
      <c r="J73" s="6"/>
    </row>
    <row r="74" spans="2:10" x14ac:dyDescent="0.25">
      <c r="B74" s="7" t="s">
        <v>150</v>
      </c>
      <c r="C74" s="30" t="s">
        <v>151</v>
      </c>
      <c r="D74" s="6" t="s">
        <v>164</v>
      </c>
      <c r="E74" s="8">
        <v>0</v>
      </c>
      <c r="F74" s="6">
        <f t="shared" si="1"/>
        <v>0</v>
      </c>
      <c r="G74" s="17"/>
      <c r="H74" s="6"/>
      <c r="I74" s="6"/>
      <c r="J74" s="6"/>
    </row>
    <row r="75" spans="2:10" x14ac:dyDescent="0.25">
      <c r="B75" s="7" t="s">
        <v>152</v>
      </c>
      <c r="C75" s="30" t="s">
        <v>153</v>
      </c>
      <c r="D75" s="6" t="s">
        <v>164</v>
      </c>
      <c r="E75" s="8">
        <v>0</v>
      </c>
      <c r="F75" s="6">
        <f t="shared" si="1"/>
        <v>0</v>
      </c>
      <c r="G75" s="17"/>
      <c r="H75" s="6"/>
      <c r="I75" s="6"/>
      <c r="J75" s="6"/>
    </row>
    <row r="76" spans="2:10" x14ac:dyDescent="0.25">
      <c r="B76" s="7" t="s">
        <v>154</v>
      </c>
      <c r="C76" s="30" t="s">
        <v>155</v>
      </c>
      <c r="D76" s="6" t="s">
        <v>164</v>
      </c>
      <c r="E76" s="8">
        <v>0</v>
      </c>
      <c r="F76" s="6">
        <f t="shared" si="1"/>
        <v>0</v>
      </c>
      <c r="G76" s="17"/>
      <c r="H76" s="6"/>
      <c r="I76" s="6"/>
      <c r="J76" s="6"/>
    </row>
    <row r="77" spans="2:10" ht="26.25" x14ac:dyDescent="0.25">
      <c r="B77" s="7" t="s">
        <v>156</v>
      </c>
      <c r="C77" s="30" t="s">
        <v>157</v>
      </c>
      <c r="D77" s="6" t="s">
        <v>164</v>
      </c>
      <c r="E77" s="8">
        <f>E72+E73</f>
        <v>100</v>
      </c>
      <c r="F77" s="6">
        <f t="shared" si="1"/>
        <v>110.00000000000001</v>
      </c>
      <c r="G77" s="17" t="s">
        <v>190</v>
      </c>
      <c r="H77" s="6"/>
      <c r="I77" s="6"/>
      <c r="J77" s="6"/>
    </row>
    <row r="78" spans="2:10" x14ac:dyDescent="0.25">
      <c r="B78" s="7" t="s">
        <v>158</v>
      </c>
      <c r="C78" s="30" t="s">
        <v>10</v>
      </c>
      <c r="D78" s="6" t="s">
        <v>164</v>
      </c>
      <c r="E78" s="11">
        <f>J6*4</f>
        <v>40</v>
      </c>
      <c r="F78" s="6">
        <f t="shared" si="1"/>
        <v>44</v>
      </c>
      <c r="G78" s="17" t="s">
        <v>195</v>
      </c>
      <c r="H78" s="6"/>
      <c r="I78" s="6"/>
      <c r="J78" s="6"/>
    </row>
    <row r="79" spans="2:10" ht="26.25" x14ac:dyDescent="0.25">
      <c r="B79" s="7" t="s">
        <v>159</v>
      </c>
      <c r="C79" s="30" t="s">
        <v>160</v>
      </c>
      <c r="D79" s="6" t="s">
        <v>164</v>
      </c>
      <c r="E79" s="8"/>
      <c r="F79" s="6">
        <f t="shared" si="1"/>
        <v>0</v>
      </c>
      <c r="G79" s="17" t="s">
        <v>191</v>
      </c>
      <c r="H79" s="6"/>
      <c r="I79" s="6"/>
      <c r="J79" s="6"/>
    </row>
    <row r="80" spans="2:10" x14ac:dyDescent="0.25">
      <c r="B80" s="7" t="s">
        <v>161</v>
      </c>
      <c r="C80" s="30" t="s">
        <v>162</v>
      </c>
      <c r="D80" s="6" t="s">
        <v>164</v>
      </c>
      <c r="E80" s="8"/>
      <c r="F80" s="6">
        <f t="shared" si="1"/>
        <v>0</v>
      </c>
      <c r="G80" s="17"/>
      <c r="H80" s="6"/>
      <c r="I80" s="6"/>
      <c r="J80" s="6"/>
    </row>
  </sheetData>
  <mergeCells count="5">
    <mergeCell ref="G71:G73"/>
    <mergeCell ref="B3:I3"/>
    <mergeCell ref="B2:J2"/>
    <mergeCell ref="G13:G20"/>
    <mergeCell ref="G25:G38"/>
  </mergeCells>
  <dataValidations count="4">
    <dataValidation type="list" allowBlank="1" showInputMessage="1" showErrorMessage="1" sqref="D5" xr:uid="{00000000-0002-0000-0200-000000000000}">
      <formula1>"ROTA:, CELULA:, ÁREA:, BAIRRO:"</formula1>
    </dataValidation>
    <dataValidation type="list" allowBlank="1" showInputMessage="1" showErrorMessage="1" sqref="H4" xr:uid="{00000000-0002-0000-0200-000001000000}">
      <formula1>"ESTIMATIVA, DEFINITIVA"</formula1>
    </dataValidation>
    <dataValidation allowBlank="1" showInputMessage="1" showErrorMessage="1" promptTitle="EXEMPLO:" prompt="LM-AFL-0001-00" sqref="C4" xr:uid="{00000000-0002-0000-0200-000002000000}"/>
    <dataValidation allowBlank="1" showInputMessage="1" showErrorMessage="1" promptTitle="EXEMPLO:" prompt="A, B, C, D, E..." sqref="E5:G5" xr:uid="{00000000-0002-0000-0200-000003000000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MATERIAIS</vt:lpstr>
      <vt:lpstr>EXPLICAÇÃO DOS MATERIAIS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cp:lastPrinted>2018-07-19T14:53:40Z</cp:lastPrinted>
  <dcterms:created xsi:type="dcterms:W3CDTF">2017-05-10T18:10:04Z</dcterms:created>
  <dcterms:modified xsi:type="dcterms:W3CDTF">2026-09-24T12:56:18Z</dcterms:modified>
</cp:coreProperties>
</file>